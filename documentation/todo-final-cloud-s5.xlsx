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" sheetId="1" r:id="rId5"/>
    <sheet state="visible" name="liste des taches" sheetId="2" r:id="rId6"/>
    <sheet state="visible" name="Recap" sheetId="3" r:id="rId7"/>
    <sheet state="visible" name="avancement" sheetId="4" r:id="rId8"/>
    <sheet state="visible" name="detail_avancement" sheetId="5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<sst xmlns="http://schemas.openxmlformats.org/spreadsheetml/2006/main" count="629" uniqueCount="218">
  <si>
    <t>ETU003123</t>
  </si>
  <si>
    <t>NELY Hasiniaina Diary</t>
  </si>
  <si>
    <t>ETU003081</t>
  </si>
  <si>
    <t>ANDRIAMANAKASINA Kantomalala Fitiavana</t>
  </si>
  <si>
    <t>ETU003300</t>
  </si>
  <si>
    <t xml:space="preserve">RAJOELIJAO Dimbiarifetra </t>
  </si>
  <si>
    <t>ETU003129</t>
  </si>
  <si>
    <t>RABETRANO Endry Nasandratra</t>
  </si>
  <si>
    <t>Ligne</t>
  </si>
  <si>
    <t>Categorie</t>
  </si>
  <si>
    <t>Modules</t>
  </si>
  <si>
    <t>Page</t>
  </si>
  <si>
    <t>Taches</t>
  </si>
  <si>
    <t>Type</t>
  </si>
  <si>
    <t>Qui</t>
  </si>
  <si>
    <t>Estimation</t>
  </si>
  <si>
    <t>Temps passé</t>
  </si>
  <si>
    <t>Reste à faire</t>
  </si>
  <si>
    <t>Avancement</t>
  </si>
  <si>
    <t>Backoffice</t>
  </si>
  <si>
    <t>Auth API</t>
  </si>
  <si>
    <t>1   Index</t>
  </si>
  <si>
    <t>Inscription utilisateur</t>
  </si>
  <si>
    <t>Métier</t>
  </si>
  <si>
    <t>ETU3081</t>
  </si>
  <si>
    <t>2   Index</t>
  </si>
  <si>
    <t>Intégration</t>
  </si>
  <si>
    <t>3   Index</t>
  </si>
  <si>
    <t>Modification infos utilisateur</t>
  </si>
  <si>
    <t>4   Categorie</t>
  </si>
  <si>
    <t>5   Categorie</t>
  </si>
  <si>
    <t>Gestion rôles</t>
  </si>
  <si>
    <t>ETU3300</t>
  </si>
  <si>
    <t>6   Categorie</t>
  </si>
  <si>
    <t>7   Categorie-add</t>
  </si>
  <si>
    <t>Durée de vie session</t>
  </si>
  <si>
    <t>ETU3129</t>
  </si>
  <si>
    <t>8   Categorie-add</t>
  </si>
  <si>
    <t>9    Login</t>
  </si>
  <si>
    <t>Connexion utilisateur</t>
  </si>
  <si>
    <t>ETU3123</t>
  </si>
  <si>
    <t>10  Login</t>
  </si>
  <si>
    <t>11  Login</t>
  </si>
  <si>
    <t>Limite tentatives login</t>
  </si>
  <si>
    <t>12  Login</t>
  </si>
  <si>
    <t>13  Login</t>
  </si>
  <si>
    <t>Blocage compte</t>
  </si>
  <si>
    <t>14  Admin-Users</t>
  </si>
  <si>
    <t>Déblocage compte API</t>
  </si>
  <si>
    <t>15  Auth-Offline</t>
  </si>
  <si>
    <t>Auth offline (DB locale)</t>
  </si>
  <si>
    <t>16  Auth-Offline</t>
  </si>
  <si>
    <t>17  Tests</t>
  </si>
  <si>
    <t>Tests API Auth</t>
  </si>
  <si>
    <t>Test</t>
  </si>
  <si>
    <t>18  DevOps</t>
  </si>
  <si>
    <t>Dockerisation API</t>
  </si>
  <si>
    <t>Technique</t>
  </si>
  <si>
    <t>Infrastructure</t>
  </si>
  <si>
    <t>Cartes</t>
  </si>
  <si>
    <t>19  Serveur</t>
  </si>
  <si>
    <t>Installation serveur cartes</t>
  </si>
  <si>
    <t>20  Serveur</t>
  </si>
  <si>
    <t>Téléchargement OSM Antananarivo</t>
  </si>
  <si>
    <t>21  Serveur</t>
  </si>
  <si>
    <t>Préparation tuiles offline</t>
  </si>
  <si>
    <t>22  Docker</t>
  </si>
  <si>
    <t>Configuration Docker cartes</t>
  </si>
  <si>
    <t>23  Docker</t>
  </si>
  <si>
    <t>Exposition serveur cartes</t>
  </si>
  <si>
    <t>Frontend</t>
  </si>
  <si>
    <t>24  Carte</t>
  </si>
  <si>
    <t>Chargement tuiles offline</t>
  </si>
  <si>
    <t>25  Carte</t>
  </si>
  <si>
    <t>Intégration Leaflet Web</t>
  </si>
  <si>
    <t>Affichage</t>
  </si>
  <si>
    <t>26  Carte</t>
  </si>
  <si>
    <t>Zoom &amp; déplacement carte</t>
  </si>
  <si>
    <t>27  Carte</t>
  </si>
  <si>
    <t>Affichage marqueurs</t>
  </si>
  <si>
    <t>28  Carte</t>
  </si>
  <si>
    <t>Tests carte offline</t>
  </si>
  <si>
    <t>29  Docker</t>
  </si>
  <si>
    <t>Nettoyage images Docker</t>
  </si>
  <si>
    <t>30  Carte</t>
  </si>
  <si>
    <t>Optimisation performance</t>
  </si>
  <si>
    <t>31  Carte</t>
  </si>
  <si>
    <t>Gestion erreurs chargement</t>
  </si>
  <si>
    <t>32  Tests</t>
  </si>
  <si>
    <t>Compatibilité Web</t>
  </si>
  <si>
    <t>33  Tests</t>
  </si>
  <si>
    <t>Compatibilité Mobile</t>
  </si>
  <si>
    <t>34  DevOps</t>
  </si>
  <si>
    <t>Séparation prod/dev</t>
  </si>
  <si>
    <t>35  Données</t>
  </si>
  <si>
    <t>Versioning données OSM</t>
  </si>
  <si>
    <t>36  Tests</t>
  </si>
  <si>
    <t>Tests intégration Web</t>
  </si>
  <si>
    <t>Web Utilisateur</t>
  </si>
  <si>
    <t>37  Session</t>
  </si>
  <si>
    <t>Gestion session</t>
  </si>
  <si>
    <t>Web Visiteur</t>
  </si>
  <si>
    <t>38  Carte</t>
  </si>
  <si>
    <t>Affichage carte</t>
  </si>
  <si>
    <t>39  Carte</t>
  </si>
  <si>
    <t>Survol point (infos)</t>
  </si>
  <si>
    <t>40  Carte</t>
  </si>
  <si>
    <t>Filtre par statut</t>
  </si>
  <si>
    <t>41  Statistiques</t>
  </si>
  <si>
    <t>Calcul avancement %</t>
  </si>
  <si>
    <t>42  Inscription</t>
  </si>
  <si>
    <t>Création compte</t>
  </si>
  <si>
    <t>43  Login</t>
  </si>
  <si>
    <t>Web Manager</t>
  </si>
  <si>
    <t>44  Gestion-Projets</t>
  </si>
  <si>
    <t>Modification statut</t>
  </si>
  <si>
    <t>45  Gestion-Projets</t>
  </si>
  <si>
    <t>Modification budget</t>
  </si>
  <si>
    <t>46  Gestion-Projets</t>
  </si>
  <si>
    <t>Modification surface</t>
  </si>
  <si>
    <t>Mobile</t>
  </si>
  <si>
    <t>Carte</t>
  </si>
  <si>
    <t>47  Carte</t>
  </si>
  <si>
    <t>48  Carte</t>
  </si>
  <si>
    <t>Affichage points problèmes</t>
  </si>
  <si>
    <t>49  Dashboard</t>
  </si>
  <si>
    <t>Tableau récapitulatif</t>
  </si>
  <si>
    <t>50  Signalements</t>
  </si>
  <si>
    <t>Liste signalements</t>
  </si>
  <si>
    <t>51  Synchronisation</t>
  </si>
  <si>
    <t>Synchronisation Firebase</t>
  </si>
  <si>
    <t>52  Synchronisation</t>
  </si>
  <si>
    <t>Bouton synchronisation</t>
  </si>
  <si>
    <t>53  Validation</t>
  </si>
  <si>
    <t>Validation données</t>
  </si>
  <si>
    <t>54  Tests</t>
  </si>
  <si>
    <t>Tests fonctionnels</t>
  </si>
  <si>
    <t>55  Gestion-Erreurs</t>
  </si>
  <si>
    <t>Gestion erreurs</t>
  </si>
  <si>
    <t>Auth</t>
  </si>
  <si>
    <t>56  Auth</t>
  </si>
  <si>
    <t>Connexion Firebase</t>
  </si>
  <si>
    <t>57  Session</t>
  </si>
  <si>
    <t>Gestion session mobile</t>
  </si>
  <si>
    <t>58  Carte</t>
  </si>
  <si>
    <t>Centrage position</t>
  </si>
  <si>
    <t>59  Carte</t>
  </si>
  <si>
    <t>Zoom &amp; déplacement</t>
  </si>
  <si>
    <t>Signalement</t>
  </si>
  <si>
    <t>60  Signalement</t>
  </si>
  <si>
    <t>Ajout signalement</t>
  </si>
  <si>
    <t>61  Signalement</t>
  </si>
  <si>
    <t>Capture position GPS</t>
  </si>
  <si>
    <t>62  Signalement</t>
  </si>
  <si>
    <t>Ajout description</t>
  </si>
  <si>
    <t>63  Signalement</t>
  </si>
  <si>
    <t>Ajout photo</t>
  </si>
  <si>
    <t>64  Synchronisation</t>
  </si>
  <si>
    <t>Envoi Firebase</t>
  </si>
  <si>
    <t>65  Signalement</t>
  </si>
  <si>
    <t>Filtre mes signalements</t>
  </si>
  <si>
    <t>66  Signalement</t>
  </si>
  <si>
    <t>Affichage recapitulatifs</t>
  </si>
  <si>
    <t>Sync</t>
  </si>
  <si>
    <t>67  Synchronisation</t>
  </si>
  <si>
    <t>Réception données Web</t>
  </si>
  <si>
    <t>68  Synchronisation</t>
  </si>
  <si>
    <t>Mise à jour temps réel</t>
  </si>
  <si>
    <t>UX</t>
  </si>
  <si>
    <t>69  UX</t>
  </si>
  <si>
    <t>Amélioration ergonomie</t>
  </si>
  <si>
    <t>Tests</t>
  </si>
  <si>
    <t>70  Tests</t>
  </si>
  <si>
    <t>Build</t>
  </si>
  <si>
    <t>71  Build</t>
  </si>
  <si>
    <t>Génération APK</t>
  </si>
  <si>
    <t>72  Build</t>
  </si>
  <si>
    <t>Tests APK</t>
  </si>
  <si>
    <t>ajout historique</t>
  </si>
  <si>
    <t>Detail historique signalement</t>
  </si>
  <si>
    <t>Ajout lien pour ajout photo</t>
  </si>
  <si>
    <t>Affichage detail signalement</t>
  </si>
  <si>
    <t>Affichage photo dans details</t>
  </si>
  <si>
    <t>Creation types de marqueurs</t>
  </si>
  <si>
    <t>Integration marqueurs - signalements</t>
  </si>
  <si>
    <t>Affichage type de marqueurs</t>
  </si>
  <si>
    <t>Ajout appareil photo</t>
  </si>
  <si>
    <t>Ajout upload photo</t>
  </si>
  <si>
    <t>Integration marqueurs - detail - photo</t>
  </si>
  <si>
    <t>Affichage detail + photo</t>
  </si>
  <si>
    <t>Notification evolution status</t>
  </si>
  <si>
    <t>Metier</t>
  </si>
  <si>
    <t>Evolution status</t>
  </si>
  <si>
    <t>Web</t>
  </si>
  <si>
    <t>Statut du niveau de reparation (1 a 10)</t>
  </si>
  <si>
    <t>Formulaire d'insertion prix par m2</t>
  </si>
  <si>
    <t>Generation APK</t>
  </si>
  <si>
    <t>Creation de niveaux de degradation</t>
  </si>
  <si>
    <t>Affichage niveaux de degradation</t>
  </si>
  <si>
    <t>Creation insertion prix par m2</t>
  </si>
  <si>
    <t>Affichage formulaire prix par m2</t>
  </si>
  <si>
    <t>Modification prix m2 par signalement</t>
  </si>
  <si>
    <t>Decomposition des pixels des images importes</t>
  </si>
  <si>
    <t>Recomposition des pixels des images</t>
  </si>
  <si>
    <t>Modification listes signalements avec images</t>
  </si>
  <si>
    <t>Modification listes signalements avec niveaux</t>
  </si>
  <si>
    <t>Calcul budget de reparation</t>
  </si>
  <si>
    <t>SUM of Estimation</t>
  </si>
  <si>
    <t>SUM of Temps passé</t>
  </si>
  <si>
    <t>SUM of Reste à faire</t>
  </si>
  <si>
    <t>Total général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</si>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</sst>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"/>
  </numFmts>
  <fonts count="10">
    <font>
      <sz val="10.0"/>
      <color rgb="FF000000"/>
      <name val="Arial"/>
      <scheme val="minor"/>
    </font>
    <font>
      <sz val="10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Calibri"/>
    </font>
    <font>
      <sz val="10.0"/>
      <color rgb="FF000000"/>
      <name val="Arial"/>
    </font>
    <font>
      <b/>
      <sz val="10.0"/>
      <color theme="1"/>
      <name val="Arial"/>
    </font>
    <font>
      <b/>
      <sz val="12.0"/>
      <color theme="1"/>
      <name val="Aptos Narrow"/>
    </font>
    <font>
      <sz val="12.0"/>
      <color theme="1"/>
      <name val="Aptos Narrow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10" xfId="0" applyAlignment="1" applyBorder="1" applyFont="1" applyNumberFormat="1">
      <alignment shrinkToFit="0" vertical="center" wrapText="0"/>
    </xf>
    <xf borderId="0" fillId="0" fontId="4" numFmtId="0" xfId="0" applyFont="1"/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1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3" numFmtId="10" xfId="0" applyAlignment="1" applyBorder="1" applyFont="1" applyNumberFormat="1">
      <alignment shrinkToFit="0" vertical="center" wrapText="0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3" fillId="0" fontId="5" numFmtId="0" xfId="0" applyBorder="1" applyFont="1"/>
    <xf borderId="6" fillId="0" fontId="5" numFmtId="0" xfId="0" applyBorder="1" applyFont="1"/>
    <xf borderId="7" fillId="0" fontId="5" numFmtId="0" xfId="0" applyBorder="1" applyFont="1"/>
    <xf borderId="8" fillId="0" fontId="5" numFmtId="0" xfId="0" applyBorder="1" applyFont="1"/>
    <xf borderId="8" fillId="0" fontId="5" numFmtId="0" xfId="0" applyBorder="1" applyFont="1"/>
    <xf borderId="0" fillId="0" fontId="5" numFmtId="0" xfId="0" applyFont="1"/>
    <xf borderId="9" fillId="0" fontId="5" numFmtId="0" xfId="0" applyBorder="1" applyFont="1"/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2" fontId="6" numFmtId="0" xfId="0" applyBorder="1" applyFill="1" applyFont="1"/>
    <xf borderId="13" fillId="2" fontId="6" numFmtId="10" xfId="0" applyBorder="1" applyFont="1" applyNumberFormat="1"/>
    <xf borderId="13" fillId="3" fontId="7" numFmtId="0" xfId="0" applyBorder="1" applyFill="1" applyFont="1"/>
    <xf borderId="0" fillId="0" fontId="8" numFmtId="0" xfId="0" applyAlignment="1" applyFont="1">
      <alignment horizontal="right"/>
    </xf>
    <xf borderId="0" fillId="0" fontId="8" numFmtId="10" xfId="0" applyAlignment="1" applyFont="1" applyNumberFormat="1">
      <alignment horizontal="right"/>
    </xf>
    <xf borderId="0" fillId="0" fontId="8" numFmtId="9" xfId="0" applyAlignment="1" applyFont="1" applyNumberFormat="1">
      <alignment horizontal="right"/>
    </xf>
    <xf borderId="0" fillId="0" fontId="8" numFmtId="0" xfId="0" applyFont="1"/>
    <xf borderId="13" fillId="3" fontId="2" numFmtId="0" xfId="0" applyBorder="1" applyFont="1"/>
    <xf borderId="0" fillId="0" fontId="2" numFmtId="0" xfId="0" applyFont="1"/>
    <xf borderId="0" fillId="0" fontId="2" numFmtId="164" xfId="0" applyAlignment="1" applyFont="1" applyNumberFormat="1">
      <alignment horizontal="right"/>
    </xf>
    <xf borderId="0" fillId="0" fontId="3" numFmtId="0" xfId="0" applyFont="1"/>
    <xf borderId="0" fillId="0" fontId="3" numFmtId="0" xfId="0" applyAlignment="1" applyFont="1">
      <alignment horizontal="right"/>
    </xf>
    <xf borderId="0" fillId="0" fontId="4" numFmtId="0" xfId="0" applyAlignment="1" applyFont="1">
      <alignment horizontal="right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liste des tach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etail_avancement-style">
      <tableStyleElement dxfId="2" type="firstRowStripe"/>
      <tableStyleElement dxfId="3" type="secondRowStripe"/>
    </tableStyle>
    <tableStyle count="2" pivot="0" name="detail_avancement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B1:K290" sheet="liste des taches"/>
  </cacheSource>
  <cacheFields>
    <cacheField name="Categorie" numFmtId="0">
      <sharedItems containsBlank="1">
        <s v="Backoffice"/>
        <s v="Infrastructure"/>
        <s v="Frontend"/>
        <s v="Mobile"/>
        <s v="Web"/>
        <m/>
      </sharedItems>
    </cacheField>
    <cacheField name="Modules" numFmtId="0">
      <sharedItems containsBlank="1">
        <s v="Auth API"/>
        <s v="Cartes"/>
        <s v="Web Utilisateur"/>
        <s v="Web Visiteur"/>
        <s v="Web Manager"/>
        <s v="Carte"/>
        <s v="Auth"/>
        <s v="Signalement"/>
        <s v="Sync"/>
        <s v="UX"/>
        <s v="Tests"/>
        <s v="Build"/>
        <m/>
      </sharedItems>
    </cacheField>
    <cacheField name="Page" numFmtId="0">
      <sharedItems containsBlank="1">
        <s v="1   Index"/>
        <s v="2   Index"/>
        <s v="3   Index"/>
        <s v="4   Categorie"/>
        <s v="5   Categorie"/>
        <s v="6   Categorie"/>
        <s v="7   Categorie-add"/>
        <s v="8   Categorie-add"/>
        <s v="9    Login"/>
        <s v="10  Login"/>
        <s v="11  Login"/>
        <s v="12  Login"/>
        <s v="13  Login"/>
        <s v="14  Admin-Users"/>
        <s v="15  Auth-Offline"/>
        <s v="16  Auth-Offline"/>
        <s v="17  Tests"/>
        <s v="18  DevOps"/>
        <s v="19  Serveur"/>
        <s v="20  Serveur"/>
        <s v="21  Serveur"/>
        <s v="22  Docker"/>
        <s v="23  Docker"/>
        <s v="24  Carte"/>
        <s v="25  Carte"/>
        <s v="26  Carte"/>
        <s v="27  Carte"/>
        <s v="28  Carte"/>
        <s v="29  Docker"/>
        <s v="30  Carte"/>
        <s v="31  Carte"/>
        <s v="32  Tests"/>
        <s v="33  Tests"/>
        <s v="34  DevOps"/>
        <s v="35  Données"/>
        <s v="36  Tests"/>
        <s v="37  Session"/>
        <s v="38  Carte"/>
        <s v="39  Carte"/>
        <s v="40  Carte"/>
        <s v="41  Statistiques"/>
        <s v="42  Inscription"/>
        <s v="43  Login"/>
        <s v="44  Gestion-Projets"/>
        <s v="45  Gestion-Projets"/>
        <s v="46  Gestion-Projets"/>
        <s v="47  Carte"/>
        <s v="48  Carte"/>
        <s v="49  Dashboard"/>
        <s v="50  Signalements"/>
        <s v="51  Synchronisation"/>
        <s v="52  Synchronisation"/>
        <s v="53  Validation"/>
        <s v="54  Tests"/>
        <s v="55  Gestion-Erreurs"/>
        <s v="56  Auth"/>
        <s v="57  Session"/>
        <s v="58  Carte"/>
        <s v="59  Carte"/>
        <s v="60  Signalement"/>
        <s v="61  Signalement"/>
        <s v="62  Signalement"/>
        <s v="63  Signalement"/>
        <s v="64  Synchronisation"/>
        <s v="65  Signalement"/>
        <s v="66  Signalement"/>
        <s v="67  Synchronisation"/>
        <s v="68  Synchronisation"/>
        <s v="69  UX"/>
        <s v="70  Tests"/>
        <s v="71  Build"/>
        <s v="72  Build"/>
        <s v="Signalement"/>
        <s v="Carte"/>
        <m/>
      </sharedItems>
    </cacheField>
    <cacheField name="Taches" numFmtId="0">
      <sharedItems containsBlank="1">
        <s v="Inscription utilisateur"/>
        <s v="Modification infos utilisateur"/>
        <s v="Gestion rôles"/>
        <s v="Durée de vie session"/>
        <s v="Connexion utilisateur"/>
        <s v="Limite tentatives login"/>
        <s v="Blocage compte"/>
        <s v="Déblocage compte API"/>
        <s v="Auth offline (DB locale)"/>
        <s v="Tests API Auth"/>
        <s v="Dockerisation API"/>
        <s v="Installation serveur cartes"/>
        <s v="Téléchargement OSM Antananarivo"/>
        <s v="Préparation tuiles offline"/>
        <s v="Configuration Docker cartes"/>
        <s v="Exposition serveur cartes"/>
        <s v="Chargement tuiles offline"/>
        <s v="Intégration Leaflet Web"/>
        <s v="Zoom &amp; déplacement carte"/>
        <s v="Affichage marqueurs"/>
        <s v="Tests carte offline"/>
        <s v="Nettoyage images Docker"/>
        <s v="Optimisation performance"/>
        <s v="Gestion erreurs chargement"/>
        <s v="Compatibilité Web"/>
        <s v="Compatibilité Mobile"/>
        <s v="Séparation prod/dev"/>
        <s v="Versioning données OSM"/>
        <s v="Tests intégration Web"/>
        <s v="Gestion session"/>
        <s v="Affichage carte"/>
        <s v="Survol point (infos)"/>
        <s v="Filtre par statut"/>
        <s v="Calcul avancement %"/>
        <s v="Création compte"/>
        <s v="Modification statut"/>
        <s v="Modification budget"/>
        <s v="Modification surface"/>
        <s v="Affichage points problèmes"/>
        <s v="Tableau récapitulatif"/>
        <s v="Liste signalements"/>
        <s v="Synchronisation Firebase"/>
        <s v="Bouton synchronisation"/>
        <s v="Validation données"/>
        <s v="Tests fonctionnels"/>
        <s v="Gestion erreurs"/>
        <s v="Connexion Firebase"/>
        <s v="Gestion session mobile"/>
        <s v="Centrage position"/>
        <s v="Zoom &amp; déplacement"/>
        <s v="Ajout signalement"/>
        <s v="Capture position GPS"/>
        <s v="Ajout description"/>
        <s v="Ajout photo"/>
        <s v="Envoi Firebase"/>
        <s v="Filtre mes signalements"/>
        <s v="Affichage recapitulatifs"/>
        <s v="Réception données Web"/>
        <s v="Mise à jour temps réel"/>
        <s v="Amélioration ergonomie"/>
        <s v="Génération APK"/>
        <s v="Tests APK"/>
        <s v="ajout historique"/>
        <s v="Detail historique signalement"/>
        <s v="Ajout lien pour ajout photo"/>
        <s v="Affichage detail signalement"/>
        <s v="Affichage photo dans details"/>
        <s v="Creation types de marqueurs"/>
        <s v="Integration marqueurs - signalements"/>
        <s v="Affichage type de marqueurs"/>
        <s v="Ajout appareil photo"/>
        <s v="Ajout upload photo"/>
        <s v="Integration marqueurs - detail - photo"/>
        <s v="Affichage detail + photo"/>
        <s v="Notification evolution status"/>
        <s v="Evolution status"/>
        <s v="Statut du niveau de reparation (1 a 10)"/>
        <s v="Formulaire d'insertion prix par m2"/>
        <s v="Generation APK"/>
        <s v="Creation de niveaux de degradation"/>
        <s v="Affichage niveaux de degradation"/>
        <s v="Creation insertion prix par m2"/>
        <s v="Affichage formulaire prix par m2"/>
        <s v="Modification prix m2 par signalement"/>
        <s v="Decomposition des pixels des images importes"/>
        <s v="Recomposition des pixels des images"/>
        <s v="Modification listes signalements avec images"/>
        <s v="Modification listes signalements avec niveaux"/>
        <s v="Calcul budget de reparation"/>
        <m/>
      </sharedItems>
    </cacheField>
    <cacheField name="Type" numFmtId="0">
      <sharedItems containsBlank="1">
        <s v="Métier"/>
        <s v="Intégration"/>
        <s v="Test"/>
        <s v="Technique"/>
        <s v="Affichage"/>
        <s v="Metier"/>
        <m/>
      </sharedItems>
    </cacheField>
    <cacheField name="Qui" numFmtId="0">
      <sharedItems containsBlank="1">
        <s v="ETU3081"/>
        <s v="ETU3300"/>
        <s v="ETU3129"/>
        <s v="ETU3123"/>
        <m/>
      </sharedItems>
    </cacheField>
    <cacheField name="Estimation" numFmtId="0">
      <sharedItems containsString="0" containsBlank="1" containsNumber="1" containsInteger="1">
        <n v="10.0"/>
        <n v="15.0"/>
        <n v="5.0"/>
        <n v="8.0"/>
        <n v="20.0"/>
        <n v="25.0"/>
        <m/>
      </sharedItems>
    </cacheField>
    <cacheField name="Temps passé" numFmtId="0">
      <sharedItems containsString="0" containsBlank="1" containsNumber="1" containsInteger="1">
        <n v="10.0"/>
        <n v="15.0"/>
        <n v="5.0"/>
        <n v="8.0"/>
        <n v="20.0"/>
        <n v="25.0"/>
        <n v="0.0"/>
        <m/>
      </sharedItems>
    </cacheField>
    <cacheField name="Reste à faire" numFmtId="0">
      <sharedItems containsString="0" containsBlank="1" containsNumber="1" containsInteger="1">
        <n v="0.0"/>
        <n v="15.0"/>
        <m/>
      </sharedItems>
    </cacheField>
    <cacheField name="Avancement" numFmtId="10">
      <sharedItems containsString="0" containsBlank="1" containsNumber="1" containsInteger="1">
        <n v="1.0"/>
        <n v="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Recap" cacheId="0" dataCaption="" compact="0" compactData="0">
  <location ref="A1:D7" firstHeaderRow="0" firstDataRow="2" firstDataCol="0"/>
  <pivotFields>
    <pivotField name="Categori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Modu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Tach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t="default"/>
      </items>
    </pivotField>
    <pivotField name="Typ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i" axis="axisRow" compact="0" outline="0" multipleItemSelectionAllowed="1" showAll="0" sortType="ascending">
      <items>
        <item x="4"/>
        <item x="0"/>
        <item x="3"/>
        <item x="2"/>
        <item x="1"/>
        <item t="default"/>
      </items>
    </pivotField>
    <pivotField name="Estimation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emps passé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ste à faire" dataField="1" compact="0" outline="0" multipleItemSelectionAllowed="1" showAll="0">
      <items>
        <item x="0"/>
        <item x="1"/>
        <item x="2"/>
        <item t="default"/>
      </items>
    </pivotField>
    <pivotField name="Avancement" compact="0" numFmtId="10" outline="0" multipleItemSelectionAllowed="1" showAll="0">
      <items>
        <item x="0"/>
        <item x="1"/>
        <item x="2"/>
        <item t="default"/>
      </items>
    </pivotField>
  </pivotFields>
  <rowFields>
    <field x="5"/>
  </rowFields>
  <colFields>
    <field x="-2"/>
  </colFields>
  <dataFields>
    <dataField name="SUM of Estimation" fld="6" baseField="0"/>
    <dataField name="SUM of Temps passé" fld="7" baseField="0"/>
    <dataField name="SUM of Reste à faire" fld="8" baseField="0"/>
  </dataFields>
</pivotTableDefinition>
</file>

<file path=xl/tables/table1.xml><?xml version="1.0" encoding="utf-8"?>
<table xmlns="http://schemas.openxmlformats.org/spreadsheetml/2006/main" ref="A1:K100" displayName="Tableau1" name="Tableau1" id="1">
  <tableColumns count="11">
    <tableColumn name="Ligne" id="1"/>
    <tableColumn name="Categorie" id="2"/>
    <tableColumn name="Modules" id="3"/>
    <tableColumn name="Page" id="4"/>
    <tableColumn name="Taches" id="5"/>
    <tableColumn name="Type" id="6"/>
    <tableColumn name="Qui" id="7"/>
    <tableColumn name="Estimation" id="8"/>
    <tableColumn name="Temps passé" id="9"/>
    <tableColumn name="Reste à faire" id="10"/>
    <tableColumn name="Avancement" id="11"/>
  </tableColumns>
  <tableStyleInfo name="liste des taches-style" showColumnStripes="0" showFirstColumn="1" showLastColumn="1" showRowStripes="1"/>
</table>
</file>

<file path=xl/tables/table2.xml><?xml version="1.0" encoding="utf-8"?>
<table xmlns="http://schemas.openxmlformats.org/spreadsheetml/2006/main" headerRowCount="0" ref="B88:B100" displayName="Table_1" name="Table_1" id="2">
  <tableColumns count="1">
    <tableColumn name="Column1" id="1"/>
  </tableColumns>
  <tableStyleInfo name="detail_avancement-style" showColumnStripes="0" showFirstColumn="1" showLastColumn="1" showRowStripes="1"/>
</table>
</file>

<file path=xl/tables/table3.xml><?xml version="1.0" encoding="utf-8"?>
<table xmlns="http://schemas.openxmlformats.org/spreadsheetml/2006/main" headerRowCount="0" ref="X88:X100" displayName="Table_2" name="Table_2" id="3">
  <tableColumns count="1">
    <tableColumn name="Column1" id="1"/>
  </tableColumns>
  <tableStyleInfo name="detail_avancemen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5.13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63"/>
    <col customWidth="1" min="2" max="2" width="19.0"/>
    <col customWidth="1" min="3" max="3" width="18.0"/>
    <col customWidth="1" min="4" max="4" width="22.63"/>
    <col customWidth="1" min="5" max="5" width="40.5"/>
    <col customWidth="1" min="6" max="6" width="14.25"/>
    <col customWidth="1" min="8" max="8" width="18.13"/>
    <col customWidth="1" min="9" max="9" width="20.25"/>
    <col customWidth="1" min="10" max="11" width="19.63"/>
  </cols>
  <sheetData>
    <row r="1" ht="15.75" customHeight="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  <c r="K1" s="2" t="s">
        <v>18</v>
      </c>
    </row>
    <row r="2" ht="15.75" customHeight="1">
      <c r="A2" s="3">
        <v>1.0</v>
      </c>
      <c r="B2" s="4" t="s">
        <v>19</v>
      </c>
      <c r="C2" s="4" t="s">
        <v>20</v>
      </c>
      <c r="D2" s="5" t="s">
        <v>21</v>
      </c>
      <c r="E2" s="5" t="s">
        <v>22</v>
      </c>
      <c r="F2" s="4" t="s">
        <v>23</v>
      </c>
      <c r="G2" s="4" t="s">
        <v>24</v>
      </c>
      <c r="H2" s="3">
        <v>10.0</v>
      </c>
      <c r="I2" s="3">
        <v>10.0</v>
      </c>
      <c r="J2" s="3">
        <f t="shared" ref="J2:J7" si="1">H2-I2</f>
        <v>0</v>
      </c>
      <c r="K2" s="6">
        <f t="shared" ref="K2:K100" si="2">(I2/(I2+J2))</f>
        <v>1</v>
      </c>
    </row>
    <row r="3" ht="15.75" customHeight="1">
      <c r="A3" s="3">
        <v>2.0</v>
      </c>
      <c r="B3" s="4" t="s">
        <v>19</v>
      </c>
      <c r="C3" s="4" t="s">
        <v>20</v>
      </c>
      <c r="D3" s="5" t="s">
        <v>25</v>
      </c>
      <c r="E3" s="5" t="s">
        <v>22</v>
      </c>
      <c r="F3" s="4" t="s">
        <v>26</v>
      </c>
      <c r="G3" s="4" t="s">
        <v>24</v>
      </c>
      <c r="H3" s="3">
        <v>15.0</v>
      </c>
      <c r="I3" s="3">
        <v>15.0</v>
      </c>
      <c r="J3" s="3">
        <f t="shared" si="1"/>
        <v>0</v>
      </c>
      <c r="K3" s="6">
        <f t="shared" si="2"/>
        <v>1</v>
      </c>
    </row>
    <row r="4" ht="15.75" customHeight="1">
      <c r="A4" s="3">
        <v>3.0</v>
      </c>
      <c r="B4" s="4" t="s">
        <v>19</v>
      </c>
      <c r="C4" s="4" t="s">
        <v>20</v>
      </c>
      <c r="D4" s="5" t="s">
        <v>27</v>
      </c>
      <c r="E4" s="5" t="s">
        <v>28</v>
      </c>
      <c r="F4" s="4" t="s">
        <v>23</v>
      </c>
      <c r="G4" s="4" t="s">
        <v>24</v>
      </c>
      <c r="H4" s="3">
        <v>5.0</v>
      </c>
      <c r="I4" s="3">
        <v>5.0</v>
      </c>
      <c r="J4" s="3">
        <f t="shared" si="1"/>
        <v>0</v>
      </c>
      <c r="K4" s="6">
        <f t="shared" si="2"/>
        <v>1</v>
      </c>
    </row>
    <row r="5" ht="15.75" customHeight="1">
      <c r="A5" s="3">
        <v>4.0</v>
      </c>
      <c r="B5" s="4" t="s">
        <v>19</v>
      </c>
      <c r="C5" s="4" t="s">
        <v>20</v>
      </c>
      <c r="D5" s="5" t="s">
        <v>29</v>
      </c>
      <c r="E5" s="5" t="s">
        <v>28</v>
      </c>
      <c r="F5" s="4" t="s">
        <v>26</v>
      </c>
      <c r="G5" s="4" t="s">
        <v>24</v>
      </c>
      <c r="H5" s="3">
        <v>8.0</v>
      </c>
      <c r="I5" s="3">
        <v>8.0</v>
      </c>
      <c r="J5" s="3">
        <f t="shared" si="1"/>
        <v>0</v>
      </c>
      <c r="K5" s="6">
        <f t="shared" si="2"/>
        <v>1</v>
      </c>
    </row>
    <row r="6" ht="15.75" customHeight="1">
      <c r="A6" s="3">
        <v>5.0</v>
      </c>
      <c r="B6" s="4" t="s">
        <v>19</v>
      </c>
      <c r="C6" s="4" t="s">
        <v>20</v>
      </c>
      <c r="D6" s="5" t="s">
        <v>30</v>
      </c>
      <c r="E6" s="5" t="s">
        <v>31</v>
      </c>
      <c r="F6" s="4" t="s">
        <v>23</v>
      </c>
      <c r="G6" s="4" t="s">
        <v>32</v>
      </c>
      <c r="H6" s="3">
        <v>10.0</v>
      </c>
      <c r="I6" s="3">
        <v>10.0</v>
      </c>
      <c r="J6" s="3">
        <f t="shared" si="1"/>
        <v>0</v>
      </c>
      <c r="K6" s="6">
        <f t="shared" si="2"/>
        <v>1</v>
      </c>
    </row>
    <row r="7" ht="15.75" customHeight="1">
      <c r="A7" s="3">
        <v>6.0</v>
      </c>
      <c r="B7" s="4" t="s">
        <v>19</v>
      </c>
      <c r="C7" s="4" t="s">
        <v>20</v>
      </c>
      <c r="D7" s="5" t="s">
        <v>33</v>
      </c>
      <c r="E7" s="5" t="s">
        <v>31</v>
      </c>
      <c r="F7" s="4" t="s">
        <v>26</v>
      </c>
      <c r="G7" s="4" t="s">
        <v>32</v>
      </c>
      <c r="H7" s="3">
        <v>10.0</v>
      </c>
      <c r="I7" s="3">
        <v>10.0</v>
      </c>
      <c r="J7" s="3">
        <f t="shared" si="1"/>
        <v>0</v>
      </c>
      <c r="K7" s="6">
        <f t="shared" si="2"/>
        <v>1</v>
      </c>
    </row>
    <row r="8" ht="15.75" customHeight="1">
      <c r="A8" s="3">
        <v>7.0</v>
      </c>
      <c r="B8" s="4" t="s">
        <v>19</v>
      </c>
      <c r="C8" s="4" t="s">
        <v>20</v>
      </c>
      <c r="D8" s="5" t="s">
        <v>34</v>
      </c>
      <c r="E8" s="5" t="s">
        <v>35</v>
      </c>
      <c r="F8" s="4" t="s">
        <v>23</v>
      </c>
      <c r="G8" s="4" t="s">
        <v>36</v>
      </c>
      <c r="H8" s="3">
        <v>15.0</v>
      </c>
      <c r="I8" s="3">
        <v>15.0</v>
      </c>
      <c r="J8" s="3">
        <v>0.0</v>
      </c>
      <c r="K8" s="6">
        <f t="shared" si="2"/>
        <v>1</v>
      </c>
    </row>
    <row r="9" ht="15.75" customHeight="1">
      <c r="A9" s="3">
        <v>8.0</v>
      </c>
      <c r="B9" s="4" t="s">
        <v>19</v>
      </c>
      <c r="C9" s="4" t="s">
        <v>20</v>
      </c>
      <c r="D9" s="5" t="s">
        <v>37</v>
      </c>
      <c r="E9" s="5" t="s">
        <v>35</v>
      </c>
      <c r="F9" s="4" t="s">
        <v>26</v>
      </c>
      <c r="G9" s="4" t="s">
        <v>36</v>
      </c>
      <c r="H9" s="3">
        <v>15.0</v>
      </c>
      <c r="I9" s="3">
        <v>15.0</v>
      </c>
      <c r="J9" s="3">
        <v>0.0</v>
      </c>
      <c r="K9" s="6">
        <f t="shared" si="2"/>
        <v>1</v>
      </c>
    </row>
    <row r="10" ht="15.75" customHeight="1">
      <c r="A10" s="3">
        <v>9.0</v>
      </c>
      <c r="B10" s="4" t="s">
        <v>19</v>
      </c>
      <c r="C10" s="4" t="s">
        <v>20</v>
      </c>
      <c r="D10" s="5" t="s">
        <v>38</v>
      </c>
      <c r="E10" s="5" t="s">
        <v>39</v>
      </c>
      <c r="F10" s="4" t="s">
        <v>23</v>
      </c>
      <c r="G10" s="4" t="s">
        <v>40</v>
      </c>
      <c r="H10" s="3">
        <v>5.0</v>
      </c>
      <c r="I10" s="3">
        <v>5.0</v>
      </c>
      <c r="J10" s="3">
        <f t="shared" ref="J10:J100" si="3">H10-I10</f>
        <v>0</v>
      </c>
      <c r="K10" s="6">
        <f t="shared" si="2"/>
        <v>1</v>
      </c>
    </row>
    <row r="11" ht="15.75" customHeight="1">
      <c r="A11" s="3">
        <v>10.0</v>
      </c>
      <c r="B11" s="4" t="s">
        <v>19</v>
      </c>
      <c r="C11" s="4" t="s">
        <v>20</v>
      </c>
      <c r="D11" s="5" t="s">
        <v>41</v>
      </c>
      <c r="E11" s="5" t="s">
        <v>39</v>
      </c>
      <c r="F11" s="4" t="s">
        <v>26</v>
      </c>
      <c r="G11" s="4" t="s">
        <v>40</v>
      </c>
      <c r="H11" s="3">
        <v>10.0</v>
      </c>
      <c r="I11" s="3">
        <v>10.0</v>
      </c>
      <c r="J11" s="3">
        <f t="shared" si="3"/>
        <v>0</v>
      </c>
      <c r="K11" s="6">
        <f t="shared" si="2"/>
        <v>1</v>
      </c>
    </row>
    <row r="12" ht="15.75" customHeight="1">
      <c r="A12" s="3">
        <f t="shared" ref="A12:A73" si="4">A11+1</f>
        <v>11</v>
      </c>
      <c r="B12" s="4" t="s">
        <v>19</v>
      </c>
      <c r="C12" s="4" t="s">
        <v>20</v>
      </c>
      <c r="D12" s="5" t="s">
        <v>42</v>
      </c>
      <c r="E12" s="5" t="s">
        <v>43</v>
      </c>
      <c r="F12" s="4" t="s">
        <v>23</v>
      </c>
      <c r="G12" s="4" t="s">
        <v>32</v>
      </c>
      <c r="H12" s="3">
        <v>10.0</v>
      </c>
      <c r="I12" s="3">
        <v>10.0</v>
      </c>
      <c r="J12" s="3">
        <f t="shared" si="3"/>
        <v>0</v>
      </c>
      <c r="K12" s="6">
        <f t="shared" si="2"/>
        <v>1</v>
      </c>
    </row>
    <row r="13" ht="15.75" customHeight="1">
      <c r="A13" s="3">
        <f t="shared" si="4"/>
        <v>12</v>
      </c>
      <c r="B13" s="4" t="s">
        <v>19</v>
      </c>
      <c r="C13" s="4" t="s">
        <v>20</v>
      </c>
      <c r="D13" s="5" t="s">
        <v>44</v>
      </c>
      <c r="E13" s="5" t="s">
        <v>43</v>
      </c>
      <c r="F13" s="4" t="s">
        <v>26</v>
      </c>
      <c r="G13" s="4" t="s">
        <v>32</v>
      </c>
      <c r="H13" s="3">
        <v>10.0</v>
      </c>
      <c r="I13" s="3">
        <v>10.0</v>
      </c>
      <c r="J13" s="3">
        <f t="shared" si="3"/>
        <v>0</v>
      </c>
      <c r="K13" s="6">
        <f t="shared" si="2"/>
        <v>1</v>
      </c>
    </row>
    <row r="14" ht="15.75" customHeight="1">
      <c r="A14" s="3">
        <f t="shared" si="4"/>
        <v>13</v>
      </c>
      <c r="B14" s="4" t="s">
        <v>19</v>
      </c>
      <c r="C14" s="4" t="s">
        <v>20</v>
      </c>
      <c r="D14" s="5" t="s">
        <v>45</v>
      </c>
      <c r="E14" s="5" t="s">
        <v>46</v>
      </c>
      <c r="F14" s="4" t="s">
        <v>23</v>
      </c>
      <c r="G14" s="4" t="s">
        <v>24</v>
      </c>
      <c r="H14" s="3">
        <v>15.0</v>
      </c>
      <c r="I14" s="3">
        <v>15.0</v>
      </c>
      <c r="J14" s="3">
        <f t="shared" si="3"/>
        <v>0</v>
      </c>
      <c r="K14" s="6">
        <f t="shared" si="2"/>
        <v>1</v>
      </c>
    </row>
    <row r="15" ht="15.75" customHeight="1">
      <c r="A15" s="3">
        <f t="shared" si="4"/>
        <v>14</v>
      </c>
      <c r="B15" s="4" t="s">
        <v>19</v>
      </c>
      <c r="C15" s="4" t="s">
        <v>20</v>
      </c>
      <c r="D15" s="5" t="s">
        <v>47</v>
      </c>
      <c r="E15" s="5" t="s">
        <v>48</v>
      </c>
      <c r="F15" s="4" t="s">
        <v>23</v>
      </c>
      <c r="G15" s="4" t="s">
        <v>24</v>
      </c>
      <c r="H15" s="3">
        <v>10.0</v>
      </c>
      <c r="I15" s="3">
        <v>10.0</v>
      </c>
      <c r="J15" s="3">
        <f t="shared" si="3"/>
        <v>0</v>
      </c>
      <c r="K15" s="6">
        <f t="shared" si="2"/>
        <v>1</v>
      </c>
    </row>
    <row r="16" ht="15.75" customHeight="1">
      <c r="A16" s="3">
        <f t="shared" si="4"/>
        <v>15</v>
      </c>
      <c r="B16" s="4" t="s">
        <v>19</v>
      </c>
      <c r="C16" s="4" t="s">
        <v>20</v>
      </c>
      <c r="D16" s="5" t="s">
        <v>49</v>
      </c>
      <c r="E16" s="5" t="s">
        <v>50</v>
      </c>
      <c r="F16" s="4" t="s">
        <v>23</v>
      </c>
      <c r="G16" s="4" t="s">
        <v>36</v>
      </c>
      <c r="H16" s="3">
        <v>10.0</v>
      </c>
      <c r="I16" s="3">
        <v>10.0</v>
      </c>
      <c r="J16" s="3">
        <f t="shared" si="3"/>
        <v>0</v>
      </c>
      <c r="K16" s="6">
        <f t="shared" si="2"/>
        <v>1</v>
      </c>
    </row>
    <row r="17" ht="15.75" customHeight="1">
      <c r="A17" s="3">
        <f t="shared" si="4"/>
        <v>16</v>
      </c>
      <c r="B17" s="4" t="s">
        <v>19</v>
      </c>
      <c r="C17" s="4" t="s">
        <v>20</v>
      </c>
      <c r="D17" s="5" t="s">
        <v>51</v>
      </c>
      <c r="E17" s="5" t="s">
        <v>50</v>
      </c>
      <c r="F17" s="4" t="s">
        <v>26</v>
      </c>
      <c r="G17" s="4" t="s">
        <v>36</v>
      </c>
      <c r="H17" s="3">
        <v>15.0</v>
      </c>
      <c r="I17" s="3">
        <v>15.0</v>
      </c>
      <c r="J17" s="3">
        <f t="shared" si="3"/>
        <v>0</v>
      </c>
      <c r="K17" s="6">
        <f t="shared" si="2"/>
        <v>1</v>
      </c>
    </row>
    <row r="18" ht="15.75" customHeight="1">
      <c r="A18" s="3">
        <f t="shared" si="4"/>
        <v>17</v>
      </c>
      <c r="B18" s="4" t="s">
        <v>19</v>
      </c>
      <c r="C18" s="4" t="s">
        <v>20</v>
      </c>
      <c r="D18" s="5" t="s">
        <v>52</v>
      </c>
      <c r="E18" s="5" t="s">
        <v>53</v>
      </c>
      <c r="F18" s="4" t="s">
        <v>54</v>
      </c>
      <c r="G18" s="4" t="s">
        <v>24</v>
      </c>
      <c r="H18" s="3">
        <v>15.0</v>
      </c>
      <c r="I18" s="3">
        <v>15.0</v>
      </c>
      <c r="J18" s="3">
        <f t="shared" si="3"/>
        <v>0</v>
      </c>
      <c r="K18" s="6">
        <f t="shared" si="2"/>
        <v>1</v>
      </c>
    </row>
    <row r="19" ht="15.75" customHeight="1">
      <c r="A19" s="3">
        <f t="shared" si="4"/>
        <v>18</v>
      </c>
      <c r="B19" s="4" t="s">
        <v>19</v>
      </c>
      <c r="C19" s="4" t="s">
        <v>20</v>
      </c>
      <c r="D19" s="5" t="s">
        <v>55</v>
      </c>
      <c r="E19" s="5" t="s">
        <v>56</v>
      </c>
      <c r="F19" s="4" t="s">
        <v>57</v>
      </c>
      <c r="G19" s="4" t="s">
        <v>24</v>
      </c>
      <c r="H19" s="3">
        <v>20.0</v>
      </c>
      <c r="I19" s="3">
        <v>20.0</v>
      </c>
      <c r="J19" s="3">
        <f t="shared" si="3"/>
        <v>0</v>
      </c>
      <c r="K19" s="6">
        <f t="shared" si="2"/>
        <v>1</v>
      </c>
    </row>
    <row r="20" ht="15.75" customHeight="1">
      <c r="A20" s="3">
        <f t="shared" si="4"/>
        <v>19</v>
      </c>
      <c r="B20" s="4" t="s">
        <v>58</v>
      </c>
      <c r="C20" s="4" t="s">
        <v>59</v>
      </c>
      <c r="D20" s="5" t="s">
        <v>60</v>
      </c>
      <c r="E20" s="5" t="s">
        <v>61</v>
      </c>
      <c r="F20" s="4" t="s">
        <v>57</v>
      </c>
      <c r="G20" s="4" t="s">
        <v>40</v>
      </c>
      <c r="H20" s="3">
        <v>20.0</v>
      </c>
      <c r="I20" s="3">
        <v>20.0</v>
      </c>
      <c r="J20" s="3">
        <f t="shared" si="3"/>
        <v>0</v>
      </c>
      <c r="K20" s="6">
        <f t="shared" si="2"/>
        <v>1</v>
      </c>
    </row>
    <row r="21" ht="15.75" customHeight="1">
      <c r="A21" s="3">
        <f t="shared" si="4"/>
        <v>20</v>
      </c>
      <c r="B21" s="4" t="s">
        <v>58</v>
      </c>
      <c r="C21" s="4" t="s">
        <v>59</v>
      </c>
      <c r="D21" s="5" t="s">
        <v>62</v>
      </c>
      <c r="E21" s="5" t="s">
        <v>63</v>
      </c>
      <c r="F21" s="4" t="s">
        <v>57</v>
      </c>
      <c r="G21" s="4" t="s">
        <v>40</v>
      </c>
      <c r="H21" s="3">
        <v>25.0</v>
      </c>
      <c r="I21" s="3">
        <v>25.0</v>
      </c>
      <c r="J21" s="3">
        <f t="shared" si="3"/>
        <v>0</v>
      </c>
      <c r="K21" s="6">
        <f t="shared" si="2"/>
        <v>1</v>
      </c>
    </row>
    <row r="22" ht="15.75" customHeight="1">
      <c r="A22" s="3">
        <f t="shared" si="4"/>
        <v>21</v>
      </c>
      <c r="B22" s="4" t="s">
        <v>58</v>
      </c>
      <c r="C22" s="4" t="s">
        <v>59</v>
      </c>
      <c r="D22" s="5" t="s">
        <v>64</v>
      </c>
      <c r="E22" s="5" t="s">
        <v>65</v>
      </c>
      <c r="F22" s="4" t="s">
        <v>57</v>
      </c>
      <c r="G22" s="4" t="s">
        <v>40</v>
      </c>
      <c r="H22" s="3">
        <v>15.0</v>
      </c>
      <c r="I22" s="3">
        <v>15.0</v>
      </c>
      <c r="J22" s="3">
        <f t="shared" si="3"/>
        <v>0</v>
      </c>
      <c r="K22" s="6">
        <f t="shared" si="2"/>
        <v>1</v>
      </c>
    </row>
    <row r="23" ht="15.75" customHeight="1">
      <c r="A23" s="3">
        <f t="shared" si="4"/>
        <v>22</v>
      </c>
      <c r="B23" s="4" t="s">
        <v>58</v>
      </c>
      <c r="C23" s="4" t="s">
        <v>59</v>
      </c>
      <c r="D23" s="5" t="s">
        <v>66</v>
      </c>
      <c r="E23" s="5" t="s">
        <v>67</v>
      </c>
      <c r="F23" s="4" t="s">
        <v>57</v>
      </c>
      <c r="G23" s="4" t="s">
        <v>32</v>
      </c>
      <c r="H23" s="3">
        <v>15.0</v>
      </c>
      <c r="I23" s="3">
        <v>15.0</v>
      </c>
      <c r="J23" s="3">
        <f t="shared" si="3"/>
        <v>0</v>
      </c>
      <c r="K23" s="6">
        <f t="shared" si="2"/>
        <v>1</v>
      </c>
    </row>
    <row r="24" ht="15.75" customHeight="1">
      <c r="A24" s="3">
        <f t="shared" si="4"/>
        <v>23</v>
      </c>
      <c r="B24" s="4" t="s">
        <v>58</v>
      </c>
      <c r="C24" s="4" t="s">
        <v>59</v>
      </c>
      <c r="D24" s="5" t="s">
        <v>68</v>
      </c>
      <c r="E24" s="5" t="s">
        <v>69</v>
      </c>
      <c r="F24" s="4" t="s">
        <v>57</v>
      </c>
      <c r="G24" s="4" t="s">
        <v>32</v>
      </c>
      <c r="H24" s="3">
        <v>10.0</v>
      </c>
      <c r="I24" s="3">
        <v>10.0</v>
      </c>
      <c r="J24" s="3">
        <f t="shared" si="3"/>
        <v>0</v>
      </c>
      <c r="K24" s="6">
        <f t="shared" si="2"/>
        <v>1</v>
      </c>
    </row>
    <row r="25" ht="15.75" customHeight="1">
      <c r="A25" s="3">
        <f t="shared" si="4"/>
        <v>24</v>
      </c>
      <c r="B25" s="4" t="s">
        <v>70</v>
      </c>
      <c r="C25" s="4" t="s">
        <v>59</v>
      </c>
      <c r="D25" s="5" t="s">
        <v>71</v>
      </c>
      <c r="E25" s="5" t="s">
        <v>72</v>
      </c>
      <c r="F25" s="4" t="s">
        <v>26</v>
      </c>
      <c r="G25" s="4" t="s">
        <v>40</v>
      </c>
      <c r="H25" s="3">
        <v>5.0</v>
      </c>
      <c r="I25" s="3">
        <v>5.0</v>
      </c>
      <c r="J25" s="3">
        <f t="shared" si="3"/>
        <v>0</v>
      </c>
      <c r="K25" s="6">
        <f t="shared" si="2"/>
        <v>1</v>
      </c>
    </row>
    <row r="26" ht="15.75" customHeight="1">
      <c r="A26" s="3">
        <f t="shared" si="4"/>
        <v>25</v>
      </c>
      <c r="B26" s="4" t="s">
        <v>70</v>
      </c>
      <c r="C26" s="4" t="s">
        <v>59</v>
      </c>
      <c r="D26" s="5" t="s">
        <v>73</v>
      </c>
      <c r="E26" s="5" t="s">
        <v>74</v>
      </c>
      <c r="F26" s="4" t="s">
        <v>75</v>
      </c>
      <c r="G26" s="4" t="s">
        <v>24</v>
      </c>
      <c r="H26" s="3">
        <v>15.0</v>
      </c>
      <c r="I26" s="3">
        <v>15.0</v>
      </c>
      <c r="J26" s="3">
        <f t="shared" si="3"/>
        <v>0</v>
      </c>
      <c r="K26" s="6">
        <f t="shared" si="2"/>
        <v>1</v>
      </c>
    </row>
    <row r="27" ht="15.75" customHeight="1">
      <c r="A27" s="3">
        <f t="shared" si="4"/>
        <v>26</v>
      </c>
      <c r="B27" s="4" t="s">
        <v>70</v>
      </c>
      <c r="C27" s="4" t="s">
        <v>59</v>
      </c>
      <c r="D27" s="5" t="s">
        <v>76</v>
      </c>
      <c r="E27" s="5" t="s">
        <v>77</v>
      </c>
      <c r="F27" s="4" t="s">
        <v>75</v>
      </c>
      <c r="G27" s="4" t="s">
        <v>36</v>
      </c>
      <c r="H27" s="3">
        <v>20.0</v>
      </c>
      <c r="I27" s="3">
        <v>20.0</v>
      </c>
      <c r="J27" s="3">
        <f t="shared" si="3"/>
        <v>0</v>
      </c>
      <c r="K27" s="6">
        <f t="shared" si="2"/>
        <v>1</v>
      </c>
    </row>
    <row r="28" ht="17.25" customHeight="1">
      <c r="A28" s="3">
        <f t="shared" si="4"/>
        <v>27</v>
      </c>
      <c r="B28" s="4" t="s">
        <v>70</v>
      </c>
      <c r="C28" s="4" t="s">
        <v>59</v>
      </c>
      <c r="D28" s="5" t="s">
        <v>78</v>
      </c>
      <c r="E28" s="5" t="s">
        <v>79</v>
      </c>
      <c r="F28" s="4" t="s">
        <v>75</v>
      </c>
      <c r="G28" s="4" t="s">
        <v>36</v>
      </c>
      <c r="H28" s="3">
        <v>10.0</v>
      </c>
      <c r="I28" s="3">
        <v>10.0</v>
      </c>
      <c r="J28" s="3">
        <f t="shared" si="3"/>
        <v>0</v>
      </c>
      <c r="K28" s="6">
        <f t="shared" si="2"/>
        <v>1</v>
      </c>
      <c r="M28" s="7"/>
      <c r="N28" s="7"/>
    </row>
    <row r="29" ht="15.75" customHeight="1">
      <c r="A29" s="3">
        <f t="shared" si="4"/>
        <v>28</v>
      </c>
      <c r="B29" s="4" t="s">
        <v>70</v>
      </c>
      <c r="C29" s="4" t="s">
        <v>59</v>
      </c>
      <c r="D29" s="5" t="s">
        <v>80</v>
      </c>
      <c r="E29" s="5" t="s">
        <v>81</v>
      </c>
      <c r="F29" s="4" t="s">
        <v>54</v>
      </c>
      <c r="G29" s="4" t="s">
        <v>24</v>
      </c>
      <c r="H29" s="3">
        <v>5.0</v>
      </c>
      <c r="I29" s="3">
        <v>5.0</v>
      </c>
      <c r="J29" s="3">
        <f t="shared" si="3"/>
        <v>0</v>
      </c>
      <c r="K29" s="6">
        <f t="shared" si="2"/>
        <v>1</v>
      </c>
    </row>
    <row r="30" ht="15.75" customHeight="1">
      <c r="A30" s="3">
        <f t="shared" si="4"/>
        <v>29</v>
      </c>
      <c r="B30" s="4" t="s">
        <v>58</v>
      </c>
      <c r="C30" s="4" t="s">
        <v>59</v>
      </c>
      <c r="D30" s="5" t="s">
        <v>82</v>
      </c>
      <c r="E30" s="5" t="s">
        <v>83</v>
      </c>
      <c r="F30" s="4" t="s">
        <v>57</v>
      </c>
      <c r="G30" s="4" t="s">
        <v>40</v>
      </c>
      <c r="H30" s="3">
        <v>10.0</v>
      </c>
      <c r="I30" s="3">
        <v>10.0</v>
      </c>
      <c r="J30" s="3">
        <f t="shared" si="3"/>
        <v>0</v>
      </c>
      <c r="K30" s="6">
        <f t="shared" si="2"/>
        <v>1</v>
      </c>
    </row>
    <row r="31" ht="15.75" customHeight="1">
      <c r="A31" s="3">
        <f t="shared" si="4"/>
        <v>30</v>
      </c>
      <c r="B31" s="4" t="s">
        <v>70</v>
      </c>
      <c r="C31" s="4" t="s">
        <v>59</v>
      </c>
      <c r="D31" s="5" t="s">
        <v>84</v>
      </c>
      <c r="E31" s="5" t="s">
        <v>85</v>
      </c>
      <c r="F31" s="4" t="s">
        <v>57</v>
      </c>
      <c r="G31" s="4" t="s">
        <v>32</v>
      </c>
      <c r="H31" s="3">
        <v>25.0</v>
      </c>
      <c r="I31" s="8">
        <v>25.0</v>
      </c>
      <c r="J31" s="3">
        <f t="shared" si="3"/>
        <v>0</v>
      </c>
      <c r="K31" s="6">
        <f t="shared" si="2"/>
        <v>1</v>
      </c>
    </row>
    <row r="32" ht="15.75" customHeight="1">
      <c r="A32" s="3">
        <f t="shared" si="4"/>
        <v>31</v>
      </c>
      <c r="B32" s="4" t="s">
        <v>70</v>
      </c>
      <c r="C32" s="4" t="s">
        <v>59</v>
      </c>
      <c r="D32" s="5" t="s">
        <v>86</v>
      </c>
      <c r="E32" s="5" t="s">
        <v>87</v>
      </c>
      <c r="F32" s="4" t="s">
        <v>23</v>
      </c>
      <c r="G32" s="4" t="s">
        <v>32</v>
      </c>
      <c r="H32" s="3">
        <v>20.0</v>
      </c>
      <c r="I32" s="8">
        <v>20.0</v>
      </c>
      <c r="J32" s="3">
        <f t="shared" si="3"/>
        <v>0</v>
      </c>
      <c r="K32" s="6">
        <f t="shared" si="2"/>
        <v>1</v>
      </c>
    </row>
    <row r="33" ht="15.75" customHeight="1">
      <c r="A33" s="3">
        <f t="shared" si="4"/>
        <v>32</v>
      </c>
      <c r="B33" s="4" t="s">
        <v>58</v>
      </c>
      <c r="C33" s="4" t="s">
        <v>59</v>
      </c>
      <c r="D33" s="5" t="s">
        <v>88</v>
      </c>
      <c r="E33" s="5" t="s">
        <v>89</v>
      </c>
      <c r="F33" s="4" t="s">
        <v>54</v>
      </c>
      <c r="G33" s="4" t="s">
        <v>32</v>
      </c>
      <c r="H33" s="3">
        <v>15.0</v>
      </c>
      <c r="I33" s="3">
        <v>15.0</v>
      </c>
      <c r="J33" s="3">
        <f t="shared" si="3"/>
        <v>0</v>
      </c>
      <c r="K33" s="6">
        <f t="shared" si="2"/>
        <v>1</v>
      </c>
    </row>
    <row r="34" ht="15.75" customHeight="1">
      <c r="A34" s="3">
        <f t="shared" si="4"/>
        <v>33</v>
      </c>
      <c r="B34" s="4" t="s">
        <v>58</v>
      </c>
      <c r="C34" s="4" t="s">
        <v>59</v>
      </c>
      <c r="D34" s="5" t="s">
        <v>90</v>
      </c>
      <c r="E34" s="5" t="s">
        <v>91</v>
      </c>
      <c r="F34" s="4" t="s">
        <v>54</v>
      </c>
      <c r="G34" s="4" t="s">
        <v>32</v>
      </c>
      <c r="H34" s="3">
        <v>15.0</v>
      </c>
      <c r="I34" s="3">
        <v>15.0</v>
      </c>
      <c r="J34" s="3">
        <f t="shared" si="3"/>
        <v>0</v>
      </c>
      <c r="K34" s="6">
        <f t="shared" si="2"/>
        <v>1</v>
      </c>
    </row>
    <row r="35" ht="15.75" customHeight="1">
      <c r="A35" s="3">
        <f t="shared" si="4"/>
        <v>34</v>
      </c>
      <c r="B35" s="4" t="s">
        <v>58</v>
      </c>
      <c r="C35" s="4" t="s">
        <v>59</v>
      </c>
      <c r="D35" s="5" t="s">
        <v>92</v>
      </c>
      <c r="E35" s="5" t="s">
        <v>93</v>
      </c>
      <c r="F35" s="4" t="s">
        <v>57</v>
      </c>
      <c r="G35" s="4" t="s">
        <v>36</v>
      </c>
      <c r="H35" s="3">
        <v>15.0</v>
      </c>
      <c r="I35" s="3">
        <v>15.0</v>
      </c>
      <c r="J35" s="3">
        <f t="shared" si="3"/>
        <v>0</v>
      </c>
      <c r="K35" s="6">
        <f t="shared" si="2"/>
        <v>1</v>
      </c>
    </row>
    <row r="36" ht="15.75" customHeight="1">
      <c r="A36" s="3">
        <f t="shared" si="4"/>
        <v>35</v>
      </c>
      <c r="B36" s="4" t="s">
        <v>58</v>
      </c>
      <c r="C36" s="4" t="s">
        <v>59</v>
      </c>
      <c r="D36" s="5" t="s">
        <v>94</v>
      </c>
      <c r="E36" s="5" t="s">
        <v>95</v>
      </c>
      <c r="F36" s="4" t="s">
        <v>57</v>
      </c>
      <c r="G36" s="4" t="s">
        <v>36</v>
      </c>
      <c r="H36" s="3">
        <v>15.0</v>
      </c>
      <c r="I36" s="8">
        <v>15.0</v>
      </c>
      <c r="J36" s="3">
        <f t="shared" si="3"/>
        <v>0</v>
      </c>
      <c r="K36" s="6">
        <f t="shared" si="2"/>
        <v>1</v>
      </c>
    </row>
    <row r="37" ht="15.75" customHeight="1">
      <c r="A37" s="3">
        <f t="shared" si="4"/>
        <v>36</v>
      </c>
      <c r="B37" s="4" t="s">
        <v>58</v>
      </c>
      <c r="C37" s="4" t="s">
        <v>59</v>
      </c>
      <c r="D37" s="5" t="s">
        <v>96</v>
      </c>
      <c r="E37" s="5" t="s">
        <v>97</v>
      </c>
      <c r="F37" s="4" t="s">
        <v>54</v>
      </c>
      <c r="G37" s="4" t="s">
        <v>36</v>
      </c>
      <c r="H37" s="3">
        <v>10.0</v>
      </c>
      <c r="I37" s="3">
        <v>10.0</v>
      </c>
      <c r="J37" s="3">
        <f t="shared" si="3"/>
        <v>0</v>
      </c>
      <c r="K37" s="6">
        <f t="shared" si="2"/>
        <v>1</v>
      </c>
    </row>
    <row r="38" ht="15.75" customHeight="1">
      <c r="A38" s="3">
        <f t="shared" si="4"/>
        <v>37</v>
      </c>
      <c r="B38" s="4" t="s">
        <v>70</v>
      </c>
      <c r="C38" s="4" t="s">
        <v>98</v>
      </c>
      <c r="D38" s="5" t="s">
        <v>99</v>
      </c>
      <c r="E38" s="5" t="s">
        <v>100</v>
      </c>
      <c r="F38" s="4" t="s">
        <v>23</v>
      </c>
      <c r="G38" s="4" t="s">
        <v>36</v>
      </c>
      <c r="H38" s="3">
        <v>15.0</v>
      </c>
      <c r="I38" s="3">
        <v>15.0</v>
      </c>
      <c r="J38" s="3">
        <f t="shared" si="3"/>
        <v>0</v>
      </c>
      <c r="K38" s="6">
        <f t="shared" si="2"/>
        <v>1</v>
      </c>
    </row>
    <row r="39" ht="15.75" customHeight="1">
      <c r="A39" s="3">
        <f t="shared" si="4"/>
        <v>38</v>
      </c>
      <c r="B39" s="4" t="s">
        <v>70</v>
      </c>
      <c r="C39" s="4" t="s">
        <v>101</v>
      </c>
      <c r="D39" s="5" t="s">
        <v>102</v>
      </c>
      <c r="E39" s="5" t="s">
        <v>103</v>
      </c>
      <c r="F39" s="4" t="s">
        <v>75</v>
      </c>
      <c r="G39" s="4" t="s">
        <v>40</v>
      </c>
      <c r="H39" s="3">
        <v>10.0</v>
      </c>
      <c r="I39" s="3">
        <v>10.0</v>
      </c>
      <c r="J39" s="3">
        <f t="shared" si="3"/>
        <v>0</v>
      </c>
      <c r="K39" s="6">
        <f t="shared" si="2"/>
        <v>1</v>
      </c>
    </row>
    <row r="40" ht="15.75" customHeight="1">
      <c r="A40" s="3">
        <f t="shared" si="4"/>
        <v>39</v>
      </c>
      <c r="B40" s="4" t="s">
        <v>70</v>
      </c>
      <c r="C40" s="4" t="s">
        <v>101</v>
      </c>
      <c r="D40" s="5" t="s">
        <v>104</v>
      </c>
      <c r="E40" s="5" t="s">
        <v>105</v>
      </c>
      <c r="F40" s="4" t="s">
        <v>75</v>
      </c>
      <c r="G40" s="4" t="s">
        <v>40</v>
      </c>
      <c r="H40" s="3">
        <v>10.0</v>
      </c>
      <c r="I40" s="3">
        <v>10.0</v>
      </c>
      <c r="J40" s="3">
        <f t="shared" si="3"/>
        <v>0</v>
      </c>
      <c r="K40" s="6">
        <f t="shared" si="2"/>
        <v>1</v>
      </c>
    </row>
    <row r="41" ht="15.75" customHeight="1">
      <c r="A41" s="3">
        <f t="shared" si="4"/>
        <v>40</v>
      </c>
      <c r="B41" s="4" t="s">
        <v>70</v>
      </c>
      <c r="C41" s="4" t="s">
        <v>101</v>
      </c>
      <c r="D41" s="5" t="s">
        <v>106</v>
      </c>
      <c r="E41" s="5" t="s">
        <v>107</v>
      </c>
      <c r="F41" s="4" t="s">
        <v>23</v>
      </c>
      <c r="G41" s="4" t="s">
        <v>24</v>
      </c>
      <c r="H41" s="3">
        <v>5.0</v>
      </c>
      <c r="I41" s="3">
        <v>5.0</v>
      </c>
      <c r="J41" s="3">
        <f t="shared" si="3"/>
        <v>0</v>
      </c>
      <c r="K41" s="6">
        <f t="shared" si="2"/>
        <v>1</v>
      </c>
    </row>
    <row r="42" ht="15.75" customHeight="1">
      <c r="A42" s="3">
        <f t="shared" si="4"/>
        <v>41</v>
      </c>
      <c r="B42" s="4" t="s">
        <v>70</v>
      </c>
      <c r="C42" s="4" t="s">
        <v>101</v>
      </c>
      <c r="D42" s="5" t="s">
        <v>108</v>
      </c>
      <c r="E42" s="5" t="s">
        <v>109</v>
      </c>
      <c r="F42" s="4" t="s">
        <v>23</v>
      </c>
      <c r="G42" s="4" t="s">
        <v>24</v>
      </c>
      <c r="H42" s="3">
        <v>15.0</v>
      </c>
      <c r="I42" s="3">
        <v>15.0</v>
      </c>
      <c r="J42" s="3">
        <f t="shared" si="3"/>
        <v>0</v>
      </c>
      <c r="K42" s="6">
        <f t="shared" si="2"/>
        <v>1</v>
      </c>
    </row>
    <row r="43" ht="15.75" customHeight="1">
      <c r="A43" s="3">
        <f t="shared" si="4"/>
        <v>42</v>
      </c>
      <c r="B43" s="4" t="s">
        <v>70</v>
      </c>
      <c r="C43" s="4" t="s">
        <v>98</v>
      </c>
      <c r="D43" s="5" t="s">
        <v>110</v>
      </c>
      <c r="E43" s="5" t="s">
        <v>111</v>
      </c>
      <c r="F43" s="4" t="s">
        <v>26</v>
      </c>
      <c r="G43" s="4" t="s">
        <v>40</v>
      </c>
      <c r="H43" s="3">
        <v>10.0</v>
      </c>
      <c r="I43" s="3">
        <v>10.0</v>
      </c>
      <c r="J43" s="3">
        <f t="shared" si="3"/>
        <v>0</v>
      </c>
      <c r="K43" s="6">
        <f t="shared" si="2"/>
        <v>1</v>
      </c>
    </row>
    <row r="44" ht="15.75" customHeight="1">
      <c r="A44" s="3">
        <f t="shared" si="4"/>
        <v>43</v>
      </c>
      <c r="B44" s="4" t="s">
        <v>70</v>
      </c>
      <c r="C44" s="4" t="s">
        <v>98</v>
      </c>
      <c r="D44" s="5" t="s">
        <v>112</v>
      </c>
      <c r="E44" s="5" t="s">
        <v>39</v>
      </c>
      <c r="F44" s="4" t="s">
        <v>26</v>
      </c>
      <c r="G44" s="4" t="s">
        <v>40</v>
      </c>
      <c r="H44" s="3">
        <v>10.0</v>
      </c>
      <c r="I44" s="3">
        <v>10.0</v>
      </c>
      <c r="J44" s="3">
        <f t="shared" si="3"/>
        <v>0</v>
      </c>
      <c r="K44" s="6">
        <f t="shared" si="2"/>
        <v>1</v>
      </c>
    </row>
    <row r="45" ht="15.75" customHeight="1">
      <c r="A45" s="3">
        <f t="shared" si="4"/>
        <v>44</v>
      </c>
      <c r="B45" s="4" t="s">
        <v>19</v>
      </c>
      <c r="C45" s="4" t="s">
        <v>113</v>
      </c>
      <c r="D45" s="5" t="s">
        <v>114</v>
      </c>
      <c r="E45" s="5" t="s">
        <v>115</v>
      </c>
      <c r="F45" s="4" t="s">
        <v>23</v>
      </c>
      <c r="G45" s="4" t="s">
        <v>32</v>
      </c>
      <c r="H45" s="3">
        <v>10.0</v>
      </c>
      <c r="I45" s="3">
        <v>10.0</v>
      </c>
      <c r="J45" s="3">
        <f t="shared" si="3"/>
        <v>0</v>
      </c>
      <c r="K45" s="6">
        <f t="shared" si="2"/>
        <v>1</v>
      </c>
    </row>
    <row r="46" ht="15.75" customHeight="1">
      <c r="A46" s="3">
        <f t="shared" si="4"/>
        <v>45</v>
      </c>
      <c r="B46" s="4" t="s">
        <v>19</v>
      </c>
      <c r="C46" s="4" t="s">
        <v>113</v>
      </c>
      <c r="D46" s="5" t="s">
        <v>116</v>
      </c>
      <c r="E46" s="5" t="s">
        <v>117</v>
      </c>
      <c r="F46" s="4" t="s">
        <v>23</v>
      </c>
      <c r="G46" s="4" t="s">
        <v>32</v>
      </c>
      <c r="H46" s="3">
        <v>15.0</v>
      </c>
      <c r="I46" s="3">
        <v>15.0</v>
      </c>
      <c r="J46" s="3">
        <f t="shared" si="3"/>
        <v>0</v>
      </c>
      <c r="K46" s="6">
        <f t="shared" si="2"/>
        <v>1</v>
      </c>
    </row>
    <row r="47" ht="15.75" customHeight="1">
      <c r="A47" s="3">
        <f t="shared" si="4"/>
        <v>46</v>
      </c>
      <c r="B47" s="4" t="s">
        <v>19</v>
      </c>
      <c r="C47" s="4" t="s">
        <v>113</v>
      </c>
      <c r="D47" s="5" t="s">
        <v>118</v>
      </c>
      <c r="E47" s="5" t="s">
        <v>119</v>
      </c>
      <c r="F47" s="4" t="s">
        <v>23</v>
      </c>
      <c r="G47" s="4" t="s">
        <v>32</v>
      </c>
      <c r="H47" s="3">
        <v>20.0</v>
      </c>
      <c r="I47" s="3">
        <v>20.0</v>
      </c>
      <c r="J47" s="3">
        <f t="shared" si="3"/>
        <v>0</v>
      </c>
      <c r="K47" s="6">
        <f t="shared" si="2"/>
        <v>1</v>
      </c>
    </row>
    <row r="48" ht="15.75" customHeight="1">
      <c r="A48" s="3">
        <f t="shared" si="4"/>
        <v>47</v>
      </c>
      <c r="B48" s="4" t="s">
        <v>120</v>
      </c>
      <c r="C48" s="4" t="s">
        <v>121</v>
      </c>
      <c r="D48" s="5" t="s">
        <v>122</v>
      </c>
      <c r="E48" s="5" t="s">
        <v>103</v>
      </c>
      <c r="F48" s="4" t="s">
        <v>75</v>
      </c>
      <c r="G48" s="4" t="s">
        <v>40</v>
      </c>
      <c r="H48" s="3">
        <v>5.0</v>
      </c>
      <c r="I48" s="3">
        <v>5.0</v>
      </c>
      <c r="J48" s="3">
        <f t="shared" si="3"/>
        <v>0</v>
      </c>
      <c r="K48" s="6">
        <f t="shared" si="2"/>
        <v>1</v>
      </c>
    </row>
    <row r="49" ht="15.75" customHeight="1">
      <c r="A49" s="3">
        <f t="shared" si="4"/>
        <v>48</v>
      </c>
      <c r="B49" s="4" t="s">
        <v>70</v>
      </c>
      <c r="C49" s="4" t="s">
        <v>101</v>
      </c>
      <c r="D49" s="5" t="s">
        <v>123</v>
      </c>
      <c r="E49" s="5" t="s">
        <v>124</v>
      </c>
      <c r="F49" s="4" t="s">
        <v>75</v>
      </c>
      <c r="G49" s="4" t="s">
        <v>40</v>
      </c>
      <c r="H49" s="3">
        <v>10.0</v>
      </c>
      <c r="I49" s="3">
        <v>10.0</v>
      </c>
      <c r="J49" s="3">
        <f t="shared" si="3"/>
        <v>0</v>
      </c>
      <c r="K49" s="6">
        <f t="shared" si="2"/>
        <v>1</v>
      </c>
    </row>
    <row r="50" ht="15.75" customHeight="1">
      <c r="A50" s="3">
        <f t="shared" si="4"/>
        <v>49</v>
      </c>
      <c r="B50" s="4" t="s">
        <v>70</v>
      </c>
      <c r="C50" s="4" t="s">
        <v>101</v>
      </c>
      <c r="D50" s="5" t="s">
        <v>125</v>
      </c>
      <c r="E50" s="5" t="s">
        <v>126</v>
      </c>
      <c r="F50" s="4" t="s">
        <v>75</v>
      </c>
      <c r="G50" s="4" t="s">
        <v>24</v>
      </c>
      <c r="H50" s="3">
        <v>15.0</v>
      </c>
      <c r="I50" s="3">
        <v>15.0</v>
      </c>
      <c r="J50" s="3">
        <f t="shared" si="3"/>
        <v>0</v>
      </c>
      <c r="K50" s="6">
        <f t="shared" si="2"/>
        <v>1</v>
      </c>
    </row>
    <row r="51" ht="15.75" customHeight="1">
      <c r="A51" s="3">
        <f t="shared" si="4"/>
        <v>50</v>
      </c>
      <c r="B51" s="4" t="s">
        <v>19</v>
      </c>
      <c r="C51" s="4" t="s">
        <v>113</v>
      </c>
      <c r="D51" s="5" t="s">
        <v>127</v>
      </c>
      <c r="E51" s="5" t="s">
        <v>128</v>
      </c>
      <c r="F51" s="4" t="s">
        <v>23</v>
      </c>
      <c r="G51" s="4" t="s">
        <v>24</v>
      </c>
      <c r="H51" s="3">
        <v>20.0</v>
      </c>
      <c r="I51" s="3">
        <v>20.0</v>
      </c>
      <c r="J51" s="3">
        <f t="shared" si="3"/>
        <v>0</v>
      </c>
      <c r="K51" s="6">
        <f t="shared" si="2"/>
        <v>1</v>
      </c>
    </row>
    <row r="52" ht="15.75" customHeight="1">
      <c r="A52" s="3">
        <f t="shared" si="4"/>
        <v>51</v>
      </c>
      <c r="B52" s="4" t="s">
        <v>19</v>
      </c>
      <c r="C52" s="4" t="s">
        <v>113</v>
      </c>
      <c r="D52" s="5" t="s">
        <v>129</v>
      </c>
      <c r="E52" s="5" t="s">
        <v>130</v>
      </c>
      <c r="F52" s="4" t="s">
        <v>26</v>
      </c>
      <c r="G52" s="4" t="s">
        <v>36</v>
      </c>
      <c r="H52" s="3">
        <v>25.0</v>
      </c>
      <c r="I52" s="8">
        <v>25.0</v>
      </c>
      <c r="J52" s="3">
        <f t="shared" si="3"/>
        <v>0</v>
      </c>
      <c r="K52" s="6">
        <f t="shared" si="2"/>
        <v>1</v>
      </c>
    </row>
    <row r="53" ht="15.75" customHeight="1">
      <c r="A53" s="3">
        <f t="shared" si="4"/>
        <v>52</v>
      </c>
      <c r="B53" s="4" t="s">
        <v>19</v>
      </c>
      <c r="C53" s="4" t="s">
        <v>113</v>
      </c>
      <c r="D53" s="5" t="s">
        <v>131</v>
      </c>
      <c r="E53" s="5" t="s">
        <v>132</v>
      </c>
      <c r="F53" s="4" t="s">
        <v>75</v>
      </c>
      <c r="G53" s="4" t="s">
        <v>36</v>
      </c>
      <c r="H53" s="3">
        <v>20.0</v>
      </c>
      <c r="I53" s="3">
        <v>20.0</v>
      </c>
      <c r="J53" s="3">
        <f t="shared" si="3"/>
        <v>0</v>
      </c>
      <c r="K53" s="6">
        <f t="shared" si="2"/>
        <v>1</v>
      </c>
    </row>
    <row r="54" ht="15.75" customHeight="1">
      <c r="A54" s="3">
        <f t="shared" si="4"/>
        <v>53</v>
      </c>
      <c r="B54" s="4" t="s">
        <v>19</v>
      </c>
      <c r="C54" s="4" t="s">
        <v>113</v>
      </c>
      <c r="D54" s="5" t="s">
        <v>133</v>
      </c>
      <c r="E54" s="5" t="s">
        <v>134</v>
      </c>
      <c r="F54" s="4" t="s">
        <v>23</v>
      </c>
      <c r="G54" s="4" t="s">
        <v>40</v>
      </c>
      <c r="H54" s="3">
        <v>10.0</v>
      </c>
      <c r="I54" s="3">
        <v>10.0</v>
      </c>
      <c r="J54" s="3">
        <f t="shared" si="3"/>
        <v>0</v>
      </c>
      <c r="K54" s="6">
        <f t="shared" si="2"/>
        <v>1</v>
      </c>
    </row>
    <row r="55" ht="15.75" customHeight="1">
      <c r="A55" s="3">
        <f t="shared" si="4"/>
        <v>54</v>
      </c>
      <c r="B55" s="4" t="s">
        <v>19</v>
      </c>
      <c r="C55" s="4" t="s">
        <v>113</v>
      </c>
      <c r="D55" s="5" t="s">
        <v>135</v>
      </c>
      <c r="E55" s="5" t="s">
        <v>136</v>
      </c>
      <c r="F55" s="4" t="s">
        <v>54</v>
      </c>
      <c r="G55" s="4" t="s">
        <v>40</v>
      </c>
      <c r="H55" s="3">
        <v>10.0</v>
      </c>
      <c r="I55" s="3">
        <v>10.0</v>
      </c>
      <c r="J55" s="3">
        <f t="shared" si="3"/>
        <v>0</v>
      </c>
      <c r="K55" s="6">
        <f t="shared" si="2"/>
        <v>1</v>
      </c>
    </row>
    <row r="56" ht="15.75" customHeight="1">
      <c r="A56" s="3">
        <f t="shared" si="4"/>
        <v>55</v>
      </c>
      <c r="B56" s="4" t="s">
        <v>19</v>
      </c>
      <c r="C56" s="4" t="s">
        <v>113</v>
      </c>
      <c r="D56" s="5" t="s">
        <v>137</v>
      </c>
      <c r="E56" s="5" t="s">
        <v>138</v>
      </c>
      <c r="F56" s="4" t="s">
        <v>23</v>
      </c>
      <c r="G56" s="4" t="s">
        <v>40</v>
      </c>
      <c r="H56" s="3">
        <v>15.0</v>
      </c>
      <c r="I56" s="3">
        <v>15.0</v>
      </c>
      <c r="J56" s="3">
        <f t="shared" si="3"/>
        <v>0</v>
      </c>
      <c r="K56" s="6">
        <f t="shared" si="2"/>
        <v>1</v>
      </c>
    </row>
    <row r="57" ht="15.75" customHeight="1">
      <c r="A57" s="3">
        <f t="shared" si="4"/>
        <v>56</v>
      </c>
      <c r="B57" s="4" t="s">
        <v>120</v>
      </c>
      <c r="C57" s="4" t="s">
        <v>139</v>
      </c>
      <c r="D57" s="5" t="s">
        <v>140</v>
      </c>
      <c r="E57" s="5" t="s">
        <v>141</v>
      </c>
      <c r="F57" s="4" t="s">
        <v>26</v>
      </c>
      <c r="G57" s="4" t="s">
        <v>32</v>
      </c>
      <c r="H57" s="3">
        <v>10.0</v>
      </c>
      <c r="I57" s="3">
        <v>10.0</v>
      </c>
      <c r="J57" s="3">
        <f t="shared" si="3"/>
        <v>0</v>
      </c>
      <c r="K57" s="6">
        <f t="shared" si="2"/>
        <v>1</v>
      </c>
    </row>
    <row r="58" ht="15.75" customHeight="1">
      <c r="A58" s="3">
        <f t="shared" si="4"/>
        <v>57</v>
      </c>
      <c r="B58" s="4" t="s">
        <v>120</v>
      </c>
      <c r="C58" s="4" t="s">
        <v>139</v>
      </c>
      <c r="D58" s="5" t="s">
        <v>142</v>
      </c>
      <c r="E58" s="5" t="s">
        <v>143</v>
      </c>
      <c r="F58" s="4" t="s">
        <v>23</v>
      </c>
      <c r="G58" s="4" t="s">
        <v>32</v>
      </c>
      <c r="H58" s="3">
        <v>15.0</v>
      </c>
      <c r="I58" s="3">
        <v>15.0</v>
      </c>
      <c r="J58" s="3">
        <f t="shared" si="3"/>
        <v>0</v>
      </c>
      <c r="K58" s="6">
        <f t="shared" si="2"/>
        <v>1</v>
      </c>
    </row>
    <row r="59" ht="15.75" customHeight="1">
      <c r="A59" s="3">
        <f t="shared" si="4"/>
        <v>58</v>
      </c>
      <c r="B59" s="4" t="s">
        <v>120</v>
      </c>
      <c r="C59" s="4" t="s">
        <v>121</v>
      </c>
      <c r="D59" s="5" t="s">
        <v>144</v>
      </c>
      <c r="E59" s="5" t="s">
        <v>145</v>
      </c>
      <c r="F59" s="4" t="s">
        <v>23</v>
      </c>
      <c r="G59" s="4" t="s">
        <v>36</v>
      </c>
      <c r="H59" s="3">
        <v>10.0</v>
      </c>
      <c r="I59" s="3">
        <v>10.0</v>
      </c>
      <c r="J59" s="3">
        <f t="shared" si="3"/>
        <v>0</v>
      </c>
      <c r="K59" s="6">
        <f t="shared" si="2"/>
        <v>1</v>
      </c>
    </row>
    <row r="60" ht="15.75" customHeight="1">
      <c r="A60" s="3">
        <f t="shared" si="4"/>
        <v>59</v>
      </c>
      <c r="B60" s="4" t="s">
        <v>120</v>
      </c>
      <c r="C60" s="4" t="s">
        <v>121</v>
      </c>
      <c r="D60" s="5" t="s">
        <v>146</v>
      </c>
      <c r="E60" s="5" t="s">
        <v>147</v>
      </c>
      <c r="F60" s="4" t="s">
        <v>75</v>
      </c>
      <c r="G60" s="4" t="s">
        <v>36</v>
      </c>
      <c r="H60" s="3">
        <v>10.0</v>
      </c>
      <c r="I60" s="3">
        <v>10.0</v>
      </c>
      <c r="J60" s="3">
        <f t="shared" si="3"/>
        <v>0</v>
      </c>
      <c r="K60" s="6">
        <f t="shared" si="2"/>
        <v>1</v>
      </c>
    </row>
    <row r="61" ht="15.75" customHeight="1">
      <c r="A61" s="3">
        <f t="shared" si="4"/>
        <v>60</v>
      </c>
      <c r="B61" s="4" t="s">
        <v>120</v>
      </c>
      <c r="C61" s="4" t="s">
        <v>148</v>
      </c>
      <c r="D61" s="5" t="s">
        <v>149</v>
      </c>
      <c r="E61" s="5" t="s">
        <v>150</v>
      </c>
      <c r="F61" s="4" t="s">
        <v>23</v>
      </c>
      <c r="G61" s="4" t="s">
        <v>40</v>
      </c>
      <c r="H61" s="3">
        <v>15.0</v>
      </c>
      <c r="I61" s="3">
        <v>15.0</v>
      </c>
      <c r="J61" s="3">
        <f t="shared" si="3"/>
        <v>0</v>
      </c>
      <c r="K61" s="6">
        <f t="shared" si="2"/>
        <v>1</v>
      </c>
    </row>
    <row r="62" ht="15.75" customHeight="1">
      <c r="A62" s="3">
        <f t="shared" si="4"/>
        <v>61</v>
      </c>
      <c r="B62" s="4" t="s">
        <v>120</v>
      </c>
      <c r="C62" s="4" t="s">
        <v>148</v>
      </c>
      <c r="D62" s="5" t="s">
        <v>151</v>
      </c>
      <c r="E62" s="5" t="s">
        <v>152</v>
      </c>
      <c r="F62" s="4" t="s">
        <v>23</v>
      </c>
      <c r="G62" s="4" t="s">
        <v>32</v>
      </c>
      <c r="H62" s="3">
        <v>5.0</v>
      </c>
      <c r="I62" s="3">
        <v>5.0</v>
      </c>
      <c r="J62" s="3">
        <f t="shared" si="3"/>
        <v>0</v>
      </c>
      <c r="K62" s="6">
        <f t="shared" si="2"/>
        <v>1</v>
      </c>
    </row>
    <row r="63" ht="15.75" customHeight="1">
      <c r="A63" s="3">
        <f t="shared" si="4"/>
        <v>62</v>
      </c>
      <c r="B63" s="4" t="s">
        <v>120</v>
      </c>
      <c r="C63" s="4" t="s">
        <v>148</v>
      </c>
      <c r="D63" s="5" t="s">
        <v>153</v>
      </c>
      <c r="E63" s="5" t="s">
        <v>154</v>
      </c>
      <c r="F63" s="4" t="s">
        <v>23</v>
      </c>
      <c r="G63" s="4" t="s">
        <v>32</v>
      </c>
      <c r="H63" s="3">
        <v>5.0</v>
      </c>
      <c r="I63" s="3">
        <v>5.0</v>
      </c>
      <c r="J63" s="3">
        <f t="shared" si="3"/>
        <v>0</v>
      </c>
      <c r="K63" s="6">
        <f t="shared" si="2"/>
        <v>1</v>
      </c>
    </row>
    <row r="64" ht="15.75" customHeight="1">
      <c r="A64" s="3">
        <f t="shared" si="4"/>
        <v>63</v>
      </c>
      <c r="B64" s="4" t="s">
        <v>120</v>
      </c>
      <c r="C64" s="4" t="s">
        <v>148</v>
      </c>
      <c r="D64" s="5" t="s">
        <v>155</v>
      </c>
      <c r="E64" s="5" t="s">
        <v>156</v>
      </c>
      <c r="F64" s="4" t="s">
        <v>23</v>
      </c>
      <c r="G64" s="4" t="s">
        <v>24</v>
      </c>
      <c r="H64" s="3">
        <v>10.0</v>
      </c>
      <c r="I64" s="8">
        <v>10.0</v>
      </c>
      <c r="J64" s="3">
        <f t="shared" si="3"/>
        <v>0</v>
      </c>
      <c r="K64" s="6">
        <f t="shared" si="2"/>
        <v>1</v>
      </c>
    </row>
    <row r="65" ht="15.75" customHeight="1">
      <c r="A65" s="3">
        <f t="shared" si="4"/>
        <v>64</v>
      </c>
      <c r="B65" s="4" t="s">
        <v>120</v>
      </c>
      <c r="C65" s="4" t="s">
        <v>148</v>
      </c>
      <c r="D65" s="5" t="s">
        <v>157</v>
      </c>
      <c r="E65" s="5" t="s">
        <v>158</v>
      </c>
      <c r="F65" s="4" t="s">
        <v>26</v>
      </c>
      <c r="G65" s="4" t="s">
        <v>24</v>
      </c>
      <c r="H65" s="3">
        <v>15.0</v>
      </c>
      <c r="I65" s="3">
        <v>15.0</v>
      </c>
      <c r="J65" s="3">
        <f t="shared" si="3"/>
        <v>0</v>
      </c>
      <c r="K65" s="6">
        <f t="shared" si="2"/>
        <v>1</v>
      </c>
    </row>
    <row r="66" ht="15.75" customHeight="1">
      <c r="A66" s="3">
        <f t="shared" si="4"/>
        <v>65</v>
      </c>
      <c r="B66" s="4" t="s">
        <v>120</v>
      </c>
      <c r="C66" s="4" t="s">
        <v>148</v>
      </c>
      <c r="D66" s="5" t="s">
        <v>159</v>
      </c>
      <c r="E66" s="5" t="s">
        <v>160</v>
      </c>
      <c r="F66" s="4" t="s">
        <v>23</v>
      </c>
      <c r="G66" s="4" t="s">
        <v>40</v>
      </c>
      <c r="H66" s="3">
        <v>10.0</v>
      </c>
      <c r="I66" s="3">
        <v>10.0</v>
      </c>
      <c r="J66" s="3">
        <f t="shared" si="3"/>
        <v>0</v>
      </c>
      <c r="K66" s="6">
        <f t="shared" si="2"/>
        <v>1</v>
      </c>
    </row>
    <row r="67" ht="15.75" customHeight="1">
      <c r="A67" s="3">
        <f t="shared" si="4"/>
        <v>66</v>
      </c>
      <c r="B67" s="4" t="s">
        <v>120</v>
      </c>
      <c r="C67" s="4" t="s">
        <v>148</v>
      </c>
      <c r="D67" s="5" t="s">
        <v>161</v>
      </c>
      <c r="E67" s="5" t="s">
        <v>162</v>
      </c>
      <c r="F67" s="4" t="s">
        <v>75</v>
      </c>
      <c r="G67" s="4" t="s">
        <v>36</v>
      </c>
      <c r="H67" s="3">
        <v>20.0</v>
      </c>
      <c r="I67" s="3">
        <v>20.0</v>
      </c>
      <c r="J67" s="3">
        <f t="shared" si="3"/>
        <v>0</v>
      </c>
      <c r="K67" s="6">
        <f t="shared" si="2"/>
        <v>1</v>
      </c>
    </row>
    <row r="68" ht="15.75" customHeight="1">
      <c r="A68" s="3">
        <f t="shared" si="4"/>
        <v>67</v>
      </c>
      <c r="B68" s="4" t="s">
        <v>120</v>
      </c>
      <c r="C68" s="4" t="s">
        <v>163</v>
      </c>
      <c r="D68" s="5" t="s">
        <v>164</v>
      </c>
      <c r="E68" s="5" t="s">
        <v>165</v>
      </c>
      <c r="F68" s="4" t="s">
        <v>26</v>
      </c>
      <c r="G68" s="4" t="s">
        <v>24</v>
      </c>
      <c r="H68" s="3">
        <v>5.0</v>
      </c>
      <c r="I68" s="3">
        <v>5.0</v>
      </c>
      <c r="J68" s="3">
        <f t="shared" si="3"/>
        <v>0</v>
      </c>
      <c r="K68" s="6">
        <f t="shared" si="2"/>
        <v>1</v>
      </c>
    </row>
    <row r="69" ht="15.75" customHeight="1">
      <c r="A69" s="3">
        <f t="shared" si="4"/>
        <v>68</v>
      </c>
      <c r="B69" s="4" t="s">
        <v>120</v>
      </c>
      <c r="C69" s="4" t="s">
        <v>163</v>
      </c>
      <c r="D69" s="5" t="s">
        <v>166</v>
      </c>
      <c r="E69" s="5" t="s">
        <v>167</v>
      </c>
      <c r="F69" s="4" t="s">
        <v>26</v>
      </c>
      <c r="G69" s="4" t="s">
        <v>32</v>
      </c>
      <c r="H69" s="3">
        <v>20.0</v>
      </c>
      <c r="I69" s="3">
        <v>20.0</v>
      </c>
      <c r="J69" s="3">
        <f t="shared" si="3"/>
        <v>0</v>
      </c>
      <c r="K69" s="6">
        <f t="shared" si="2"/>
        <v>1</v>
      </c>
    </row>
    <row r="70" ht="15.75" customHeight="1">
      <c r="A70" s="3">
        <f t="shared" si="4"/>
        <v>69</v>
      </c>
      <c r="B70" s="4" t="s">
        <v>120</v>
      </c>
      <c r="C70" s="4" t="s">
        <v>168</v>
      </c>
      <c r="D70" s="5" t="s">
        <v>169</v>
      </c>
      <c r="E70" s="5" t="s">
        <v>170</v>
      </c>
      <c r="F70" s="4" t="s">
        <v>75</v>
      </c>
      <c r="G70" s="4" t="s">
        <v>32</v>
      </c>
      <c r="H70" s="3">
        <v>10.0</v>
      </c>
      <c r="I70" s="3">
        <v>10.0</v>
      </c>
      <c r="J70" s="3">
        <f t="shared" si="3"/>
        <v>0</v>
      </c>
      <c r="K70" s="6">
        <f t="shared" si="2"/>
        <v>1</v>
      </c>
    </row>
    <row r="71" ht="15.75" customHeight="1">
      <c r="A71" s="3">
        <f t="shared" si="4"/>
        <v>70</v>
      </c>
      <c r="B71" s="4" t="s">
        <v>120</v>
      </c>
      <c r="C71" s="4" t="s">
        <v>171</v>
      </c>
      <c r="D71" s="5" t="s">
        <v>172</v>
      </c>
      <c r="E71" s="5" t="s">
        <v>136</v>
      </c>
      <c r="F71" s="4" t="s">
        <v>54</v>
      </c>
      <c r="G71" s="4" t="s">
        <v>40</v>
      </c>
      <c r="H71" s="3">
        <v>10.0</v>
      </c>
      <c r="I71" s="3">
        <v>10.0</v>
      </c>
      <c r="J71" s="3">
        <f t="shared" si="3"/>
        <v>0</v>
      </c>
      <c r="K71" s="6">
        <f t="shared" si="2"/>
        <v>1</v>
      </c>
    </row>
    <row r="72" ht="15.75" customHeight="1">
      <c r="A72" s="3">
        <f t="shared" si="4"/>
        <v>71</v>
      </c>
      <c r="B72" s="4" t="s">
        <v>120</v>
      </c>
      <c r="C72" s="4" t="s">
        <v>173</v>
      </c>
      <c r="D72" s="5" t="s">
        <v>174</v>
      </c>
      <c r="E72" s="5" t="s">
        <v>175</v>
      </c>
      <c r="F72" s="4" t="s">
        <v>57</v>
      </c>
      <c r="G72" s="4" t="s">
        <v>24</v>
      </c>
      <c r="H72" s="3">
        <v>25.0</v>
      </c>
      <c r="I72" s="8">
        <v>25.0</v>
      </c>
      <c r="J72" s="3">
        <f t="shared" si="3"/>
        <v>0</v>
      </c>
      <c r="K72" s="6">
        <f t="shared" si="2"/>
        <v>1</v>
      </c>
    </row>
    <row r="73" ht="15.75" customHeight="1">
      <c r="A73" s="3">
        <f t="shared" si="4"/>
        <v>72</v>
      </c>
      <c r="B73" s="4" t="s">
        <v>120</v>
      </c>
      <c r="C73" s="4" t="s">
        <v>173</v>
      </c>
      <c r="D73" s="5" t="s">
        <v>176</v>
      </c>
      <c r="E73" s="5" t="s">
        <v>177</v>
      </c>
      <c r="F73" s="4" t="s">
        <v>54</v>
      </c>
      <c r="G73" s="4" t="s">
        <v>24</v>
      </c>
      <c r="H73" s="3">
        <v>10.0</v>
      </c>
      <c r="I73" s="3">
        <v>10.0</v>
      </c>
      <c r="J73" s="3">
        <f t="shared" si="3"/>
        <v>0</v>
      </c>
      <c r="K73" s="6">
        <f t="shared" si="2"/>
        <v>1</v>
      </c>
    </row>
    <row r="74" ht="15.75" customHeight="1">
      <c r="A74" s="3">
        <v>73.0</v>
      </c>
      <c r="B74" s="4" t="s">
        <v>19</v>
      </c>
      <c r="C74" s="4" t="s">
        <v>148</v>
      </c>
      <c r="D74" s="5" t="s">
        <v>148</v>
      </c>
      <c r="E74" s="5" t="s">
        <v>178</v>
      </c>
      <c r="F74" s="4" t="s">
        <v>23</v>
      </c>
      <c r="G74" s="4" t="s">
        <v>36</v>
      </c>
      <c r="H74" s="3">
        <v>20.0</v>
      </c>
      <c r="I74" s="8">
        <v>20.0</v>
      </c>
      <c r="J74" s="3">
        <f t="shared" si="3"/>
        <v>0</v>
      </c>
      <c r="K74" s="6">
        <f t="shared" si="2"/>
        <v>1</v>
      </c>
    </row>
    <row r="75" ht="15.75" customHeight="1">
      <c r="A75" s="3">
        <v>74.0</v>
      </c>
      <c r="B75" s="4" t="s">
        <v>19</v>
      </c>
      <c r="C75" s="4" t="s">
        <v>148</v>
      </c>
      <c r="D75" s="5" t="s">
        <v>148</v>
      </c>
      <c r="E75" s="5" t="s">
        <v>179</v>
      </c>
      <c r="F75" s="4" t="s">
        <v>26</v>
      </c>
      <c r="G75" s="4" t="s">
        <v>36</v>
      </c>
      <c r="H75" s="3">
        <v>15.0</v>
      </c>
      <c r="I75" s="8">
        <v>15.0</v>
      </c>
      <c r="J75" s="3">
        <f t="shared" si="3"/>
        <v>0</v>
      </c>
      <c r="K75" s="6">
        <f t="shared" si="2"/>
        <v>1</v>
      </c>
    </row>
    <row r="76" ht="15.75" customHeight="1">
      <c r="A76" s="3">
        <v>75.0</v>
      </c>
      <c r="B76" s="4" t="s">
        <v>19</v>
      </c>
      <c r="C76" s="4" t="s">
        <v>148</v>
      </c>
      <c r="D76" s="5" t="s">
        <v>148</v>
      </c>
      <c r="E76" s="5" t="s">
        <v>180</v>
      </c>
      <c r="F76" s="4" t="s">
        <v>23</v>
      </c>
      <c r="G76" s="4" t="s">
        <v>36</v>
      </c>
      <c r="H76" s="3">
        <v>10.0</v>
      </c>
      <c r="I76" s="8">
        <v>10.0</v>
      </c>
      <c r="J76" s="3">
        <f t="shared" si="3"/>
        <v>0</v>
      </c>
      <c r="K76" s="6">
        <f t="shared" si="2"/>
        <v>1</v>
      </c>
    </row>
    <row r="77" ht="15.75" customHeight="1">
      <c r="A77" s="3">
        <v>76.0</v>
      </c>
      <c r="B77" s="4" t="s">
        <v>70</v>
      </c>
      <c r="C77" s="4" t="s">
        <v>148</v>
      </c>
      <c r="D77" s="5" t="s">
        <v>148</v>
      </c>
      <c r="E77" s="5" t="s">
        <v>181</v>
      </c>
      <c r="F77" s="4" t="s">
        <v>75</v>
      </c>
      <c r="G77" s="4" t="s">
        <v>36</v>
      </c>
      <c r="H77" s="3">
        <v>10.0</v>
      </c>
      <c r="I77" s="8">
        <v>10.0</v>
      </c>
      <c r="J77" s="3">
        <f t="shared" si="3"/>
        <v>0</v>
      </c>
      <c r="K77" s="6">
        <f t="shared" si="2"/>
        <v>1</v>
      </c>
    </row>
    <row r="78" ht="15.75" customHeight="1">
      <c r="A78" s="3">
        <f>A77+1</f>
        <v>77</v>
      </c>
      <c r="B78" s="4" t="s">
        <v>70</v>
      </c>
      <c r="C78" s="4" t="s">
        <v>148</v>
      </c>
      <c r="D78" s="5" t="s">
        <v>148</v>
      </c>
      <c r="E78" s="5" t="s">
        <v>182</v>
      </c>
      <c r="F78" s="4" t="s">
        <v>75</v>
      </c>
      <c r="G78" s="4" t="s">
        <v>36</v>
      </c>
      <c r="H78" s="3">
        <v>10.0</v>
      </c>
      <c r="I78" s="8">
        <v>10.0</v>
      </c>
      <c r="J78" s="3">
        <f t="shared" si="3"/>
        <v>0</v>
      </c>
      <c r="K78" s="6">
        <f t="shared" si="2"/>
        <v>1</v>
      </c>
    </row>
    <row r="79" ht="15.75" customHeight="1">
      <c r="A79" s="3">
        <v>78.0</v>
      </c>
      <c r="B79" s="4" t="s">
        <v>19</v>
      </c>
      <c r="C79" s="4" t="s">
        <v>121</v>
      </c>
      <c r="D79" s="5" t="s">
        <v>121</v>
      </c>
      <c r="E79" s="5" t="s">
        <v>183</v>
      </c>
      <c r="F79" s="4" t="s">
        <v>23</v>
      </c>
      <c r="G79" s="4" t="s">
        <v>32</v>
      </c>
      <c r="H79" s="3">
        <v>15.0</v>
      </c>
      <c r="I79" s="3">
        <v>0.0</v>
      </c>
      <c r="J79" s="3">
        <f t="shared" si="3"/>
        <v>15</v>
      </c>
      <c r="K79" s="6">
        <f t="shared" si="2"/>
        <v>0</v>
      </c>
    </row>
    <row r="80" ht="15.75" customHeight="1">
      <c r="A80" s="3">
        <v>79.0</v>
      </c>
      <c r="B80" s="4" t="s">
        <v>19</v>
      </c>
      <c r="C80" s="4" t="s">
        <v>148</v>
      </c>
      <c r="D80" s="5" t="s">
        <v>121</v>
      </c>
      <c r="E80" s="5" t="s">
        <v>184</v>
      </c>
      <c r="F80" s="4" t="s">
        <v>26</v>
      </c>
      <c r="G80" s="4" t="s">
        <v>32</v>
      </c>
      <c r="H80" s="3">
        <v>15.0</v>
      </c>
      <c r="I80" s="8">
        <v>15.0</v>
      </c>
      <c r="J80" s="3">
        <f t="shared" si="3"/>
        <v>0</v>
      </c>
      <c r="K80" s="6">
        <f t="shared" si="2"/>
        <v>1</v>
      </c>
    </row>
    <row r="81" ht="15.75" customHeight="1">
      <c r="A81" s="3">
        <v>80.0</v>
      </c>
      <c r="B81" s="4" t="s">
        <v>70</v>
      </c>
      <c r="C81" s="4" t="s">
        <v>121</v>
      </c>
      <c r="D81" s="5" t="s">
        <v>121</v>
      </c>
      <c r="E81" s="5" t="s">
        <v>185</v>
      </c>
      <c r="F81" s="4" t="s">
        <v>75</v>
      </c>
      <c r="G81" s="4" t="s">
        <v>32</v>
      </c>
      <c r="H81" s="3">
        <v>15.0</v>
      </c>
      <c r="I81" s="8">
        <v>15.0</v>
      </c>
      <c r="J81" s="3">
        <f t="shared" si="3"/>
        <v>0</v>
      </c>
      <c r="K81" s="6">
        <f t="shared" si="2"/>
        <v>1</v>
      </c>
    </row>
    <row r="82" ht="15.75" customHeight="1">
      <c r="A82" s="3">
        <v>81.0</v>
      </c>
      <c r="B82" s="4" t="s">
        <v>120</v>
      </c>
      <c r="C82" s="4" t="s">
        <v>148</v>
      </c>
      <c r="D82" s="5" t="s">
        <v>148</v>
      </c>
      <c r="E82" s="5" t="s">
        <v>186</v>
      </c>
      <c r="F82" s="4" t="s">
        <v>23</v>
      </c>
      <c r="G82" s="4" t="s">
        <v>40</v>
      </c>
      <c r="H82" s="3">
        <v>15.0</v>
      </c>
      <c r="I82" s="8">
        <v>15.0</v>
      </c>
      <c r="J82" s="3">
        <f t="shared" si="3"/>
        <v>0</v>
      </c>
      <c r="K82" s="6">
        <f t="shared" si="2"/>
        <v>1</v>
      </c>
    </row>
    <row r="83" ht="15.75" customHeight="1">
      <c r="A83" s="3">
        <f>A82+1</f>
        <v>82</v>
      </c>
      <c r="B83" s="4" t="s">
        <v>120</v>
      </c>
      <c r="C83" s="4" t="s">
        <v>148</v>
      </c>
      <c r="D83" s="5" t="s">
        <v>148</v>
      </c>
      <c r="E83" s="5" t="s">
        <v>187</v>
      </c>
      <c r="F83" s="4" t="s">
        <v>23</v>
      </c>
      <c r="G83" s="4" t="s">
        <v>40</v>
      </c>
      <c r="H83" s="3">
        <v>20.0</v>
      </c>
      <c r="I83" s="8">
        <v>20.0</v>
      </c>
      <c r="J83" s="3">
        <f t="shared" si="3"/>
        <v>0</v>
      </c>
      <c r="K83" s="6">
        <f t="shared" si="2"/>
        <v>1</v>
      </c>
    </row>
    <row r="84" ht="15.75" customHeight="1">
      <c r="A84" s="3">
        <v>83.0</v>
      </c>
      <c r="B84" s="4" t="s">
        <v>120</v>
      </c>
      <c r="C84" s="4" t="s">
        <v>148</v>
      </c>
      <c r="D84" s="5" t="s">
        <v>148</v>
      </c>
      <c r="E84" s="5" t="s">
        <v>188</v>
      </c>
      <c r="F84" s="4" t="s">
        <v>26</v>
      </c>
      <c r="G84" s="4" t="s">
        <v>40</v>
      </c>
      <c r="H84" s="3">
        <v>25.0</v>
      </c>
      <c r="I84" s="8">
        <v>25.0</v>
      </c>
      <c r="J84" s="3">
        <f t="shared" si="3"/>
        <v>0</v>
      </c>
      <c r="K84" s="6">
        <f t="shared" si="2"/>
        <v>1</v>
      </c>
    </row>
    <row r="85" ht="15.75" customHeight="1">
      <c r="A85" s="3">
        <v>84.0</v>
      </c>
      <c r="B85" s="4" t="s">
        <v>120</v>
      </c>
      <c r="C85" s="4" t="s">
        <v>148</v>
      </c>
      <c r="D85" s="5" t="s">
        <v>148</v>
      </c>
      <c r="E85" s="5" t="s">
        <v>189</v>
      </c>
      <c r="F85" s="4" t="s">
        <v>75</v>
      </c>
      <c r="G85" s="4" t="s">
        <v>40</v>
      </c>
      <c r="H85" s="3">
        <v>5.0</v>
      </c>
      <c r="I85" s="8">
        <v>5.0</v>
      </c>
      <c r="J85" s="3">
        <f t="shared" si="3"/>
        <v>0</v>
      </c>
      <c r="K85" s="6">
        <f t="shared" si="2"/>
        <v>1</v>
      </c>
    </row>
    <row r="86" ht="15.75" customHeight="1">
      <c r="A86" s="3">
        <v>85.0</v>
      </c>
      <c r="B86" s="4" t="s">
        <v>120</v>
      </c>
      <c r="C86" s="4" t="s">
        <v>148</v>
      </c>
      <c r="D86" s="5" t="s">
        <v>148</v>
      </c>
      <c r="E86" s="5" t="s">
        <v>190</v>
      </c>
      <c r="F86" s="4" t="s">
        <v>191</v>
      </c>
      <c r="G86" s="4" t="s">
        <v>24</v>
      </c>
      <c r="H86" s="3">
        <v>20.0</v>
      </c>
      <c r="I86" s="8">
        <v>20.0</v>
      </c>
      <c r="J86" s="3">
        <f t="shared" si="3"/>
        <v>0</v>
      </c>
      <c r="K86" s="6">
        <f t="shared" si="2"/>
        <v>1</v>
      </c>
    </row>
    <row r="87" ht="15.75" customHeight="1">
      <c r="A87" s="3">
        <f t="shared" ref="A87:A100" si="5">A86+1</f>
        <v>86</v>
      </c>
      <c r="B87" s="4" t="s">
        <v>120</v>
      </c>
      <c r="C87" s="4" t="s">
        <v>148</v>
      </c>
      <c r="D87" s="5" t="s">
        <v>148</v>
      </c>
      <c r="E87" s="5" t="s">
        <v>192</v>
      </c>
      <c r="F87" s="4" t="s">
        <v>26</v>
      </c>
      <c r="G87" s="4" t="s">
        <v>24</v>
      </c>
      <c r="H87" s="3">
        <v>10.0</v>
      </c>
      <c r="I87" s="8">
        <v>10.0</v>
      </c>
      <c r="J87" s="3">
        <f t="shared" si="3"/>
        <v>0</v>
      </c>
      <c r="K87" s="6">
        <f t="shared" si="2"/>
        <v>1</v>
      </c>
    </row>
    <row r="88" ht="15.75" customHeight="1">
      <c r="A88" s="3">
        <f t="shared" si="5"/>
        <v>87</v>
      </c>
      <c r="B88" s="9" t="s">
        <v>193</v>
      </c>
      <c r="C88" s="9" t="s">
        <v>113</v>
      </c>
      <c r="D88" s="10" t="s">
        <v>148</v>
      </c>
      <c r="E88" s="10" t="s">
        <v>194</v>
      </c>
      <c r="F88" s="9" t="s">
        <v>75</v>
      </c>
      <c r="G88" s="9" t="s">
        <v>40</v>
      </c>
      <c r="H88" s="8">
        <v>20.0</v>
      </c>
      <c r="I88" s="8">
        <v>20.0</v>
      </c>
      <c r="J88" s="3">
        <f t="shared" si="3"/>
        <v>0</v>
      </c>
      <c r="K88" s="6">
        <f t="shared" si="2"/>
        <v>1</v>
      </c>
    </row>
    <row r="89" ht="15.75" customHeight="1">
      <c r="A89" s="3">
        <f t="shared" si="5"/>
        <v>88</v>
      </c>
      <c r="B89" s="9" t="s">
        <v>193</v>
      </c>
      <c r="C89" s="9" t="s">
        <v>113</v>
      </c>
      <c r="D89" s="10" t="s">
        <v>148</v>
      </c>
      <c r="E89" s="10" t="s">
        <v>195</v>
      </c>
      <c r="F89" s="9" t="s">
        <v>75</v>
      </c>
      <c r="G89" s="9" t="s">
        <v>36</v>
      </c>
      <c r="H89" s="8">
        <v>15.0</v>
      </c>
      <c r="I89" s="8">
        <v>15.0</v>
      </c>
      <c r="J89" s="3">
        <f t="shared" si="3"/>
        <v>0</v>
      </c>
      <c r="K89" s="6">
        <f t="shared" si="2"/>
        <v>1</v>
      </c>
    </row>
    <row r="90" ht="15.75" customHeight="1">
      <c r="A90" s="3">
        <f t="shared" si="5"/>
        <v>89</v>
      </c>
      <c r="B90" s="9" t="s">
        <v>120</v>
      </c>
      <c r="C90" s="9" t="s">
        <v>171</v>
      </c>
      <c r="D90" s="5"/>
      <c r="E90" s="10" t="s">
        <v>196</v>
      </c>
      <c r="F90" s="9" t="s">
        <v>54</v>
      </c>
      <c r="G90" s="9" t="s">
        <v>24</v>
      </c>
      <c r="H90" s="8">
        <v>15.0</v>
      </c>
      <c r="I90" s="8">
        <v>15.0</v>
      </c>
      <c r="J90" s="3">
        <f t="shared" si="3"/>
        <v>0</v>
      </c>
      <c r="K90" s="6">
        <f t="shared" si="2"/>
        <v>1</v>
      </c>
    </row>
    <row r="91" ht="15.75" customHeight="1">
      <c r="A91" s="3">
        <f t="shared" si="5"/>
        <v>90</v>
      </c>
      <c r="B91" s="9" t="s">
        <v>19</v>
      </c>
      <c r="C91" s="9" t="s">
        <v>113</v>
      </c>
      <c r="D91" s="10" t="s">
        <v>148</v>
      </c>
      <c r="E91" s="10" t="s">
        <v>197</v>
      </c>
      <c r="F91" s="9" t="s">
        <v>23</v>
      </c>
      <c r="G91" s="9" t="s">
        <v>24</v>
      </c>
      <c r="H91" s="8">
        <v>20.0</v>
      </c>
      <c r="I91" s="8">
        <v>20.0</v>
      </c>
      <c r="J91" s="3">
        <f t="shared" si="3"/>
        <v>0</v>
      </c>
      <c r="K91" s="6">
        <f t="shared" si="2"/>
        <v>1</v>
      </c>
    </row>
    <row r="92" ht="15.75" customHeight="1">
      <c r="A92" s="3">
        <f t="shared" si="5"/>
        <v>91</v>
      </c>
      <c r="B92" s="9" t="s">
        <v>70</v>
      </c>
      <c r="C92" s="9" t="s">
        <v>113</v>
      </c>
      <c r="D92" s="10" t="s">
        <v>148</v>
      </c>
      <c r="E92" s="10" t="s">
        <v>198</v>
      </c>
      <c r="F92" s="9" t="s">
        <v>75</v>
      </c>
      <c r="G92" s="9" t="s">
        <v>24</v>
      </c>
      <c r="H92" s="8">
        <v>15.0</v>
      </c>
      <c r="I92" s="8">
        <v>15.0</v>
      </c>
      <c r="J92" s="3">
        <f t="shared" si="3"/>
        <v>0</v>
      </c>
      <c r="K92" s="6">
        <f t="shared" si="2"/>
        <v>1</v>
      </c>
    </row>
    <row r="93" ht="15.75" customHeight="1">
      <c r="A93" s="3">
        <f t="shared" si="5"/>
        <v>92</v>
      </c>
      <c r="B93" s="9" t="s">
        <v>19</v>
      </c>
      <c r="C93" s="9" t="s">
        <v>113</v>
      </c>
      <c r="D93" s="10" t="s">
        <v>148</v>
      </c>
      <c r="E93" s="10" t="s">
        <v>199</v>
      </c>
      <c r="F93" s="9" t="s">
        <v>23</v>
      </c>
      <c r="G93" s="9" t="s">
        <v>24</v>
      </c>
      <c r="H93" s="8">
        <v>15.0</v>
      </c>
      <c r="I93" s="8">
        <v>15.0</v>
      </c>
      <c r="J93" s="3">
        <f t="shared" si="3"/>
        <v>0</v>
      </c>
      <c r="K93" s="6">
        <f t="shared" si="2"/>
        <v>1</v>
      </c>
    </row>
    <row r="94" ht="15.75" customHeight="1">
      <c r="A94" s="3">
        <f t="shared" si="5"/>
        <v>93</v>
      </c>
      <c r="B94" s="9" t="s">
        <v>19</v>
      </c>
      <c r="C94" s="9" t="s">
        <v>113</v>
      </c>
      <c r="D94" s="10" t="s">
        <v>148</v>
      </c>
      <c r="E94" s="10" t="s">
        <v>200</v>
      </c>
      <c r="F94" s="9" t="s">
        <v>75</v>
      </c>
      <c r="G94" s="9" t="s">
        <v>24</v>
      </c>
      <c r="H94" s="8">
        <v>10.0</v>
      </c>
      <c r="I94" s="8">
        <v>10.0</v>
      </c>
      <c r="J94" s="3">
        <f t="shared" si="3"/>
        <v>0</v>
      </c>
      <c r="K94" s="6">
        <f t="shared" si="2"/>
        <v>1</v>
      </c>
    </row>
    <row r="95" ht="15.75" customHeight="1">
      <c r="A95" s="3">
        <f t="shared" si="5"/>
        <v>94</v>
      </c>
      <c r="B95" s="9" t="s">
        <v>193</v>
      </c>
      <c r="C95" s="9" t="s">
        <v>113</v>
      </c>
      <c r="D95" s="10" t="s">
        <v>148</v>
      </c>
      <c r="E95" s="10" t="s">
        <v>201</v>
      </c>
      <c r="F95" s="9" t="s">
        <v>75</v>
      </c>
      <c r="G95" s="9" t="s">
        <v>36</v>
      </c>
      <c r="H95" s="3">
        <v>10.0</v>
      </c>
      <c r="I95" s="8">
        <v>10.0</v>
      </c>
      <c r="J95" s="3">
        <f t="shared" si="3"/>
        <v>0</v>
      </c>
      <c r="K95" s="6">
        <f t="shared" si="2"/>
        <v>1</v>
      </c>
    </row>
    <row r="96" ht="15.75" customHeight="1">
      <c r="A96" s="3">
        <f t="shared" si="5"/>
        <v>95</v>
      </c>
      <c r="B96" s="9" t="s">
        <v>120</v>
      </c>
      <c r="C96" s="9" t="s">
        <v>113</v>
      </c>
      <c r="D96" s="10" t="s">
        <v>148</v>
      </c>
      <c r="E96" s="10" t="s">
        <v>202</v>
      </c>
      <c r="F96" s="9" t="s">
        <v>26</v>
      </c>
      <c r="G96" s="9" t="s">
        <v>32</v>
      </c>
      <c r="H96" s="8">
        <v>20.0</v>
      </c>
      <c r="I96" s="8">
        <v>20.0</v>
      </c>
      <c r="J96" s="3">
        <f t="shared" si="3"/>
        <v>0</v>
      </c>
      <c r="K96" s="6">
        <f t="shared" si="2"/>
        <v>1</v>
      </c>
    </row>
    <row r="97" ht="15.75" customHeight="1">
      <c r="A97" s="3">
        <f t="shared" si="5"/>
        <v>96</v>
      </c>
      <c r="B97" s="9" t="s">
        <v>19</v>
      </c>
      <c r="C97" s="9" t="s">
        <v>113</v>
      </c>
      <c r="D97" s="10" t="s">
        <v>148</v>
      </c>
      <c r="E97" s="10" t="s">
        <v>203</v>
      </c>
      <c r="F97" s="9" t="s">
        <v>26</v>
      </c>
      <c r="G97" s="9" t="s">
        <v>32</v>
      </c>
      <c r="H97" s="8">
        <v>25.0</v>
      </c>
      <c r="I97" s="8">
        <v>25.0</v>
      </c>
      <c r="J97" s="3">
        <f t="shared" si="3"/>
        <v>0</v>
      </c>
      <c r="K97" s="6">
        <f t="shared" si="2"/>
        <v>1</v>
      </c>
    </row>
    <row r="98" ht="15.75" customHeight="1">
      <c r="A98" s="3">
        <f t="shared" si="5"/>
        <v>97</v>
      </c>
      <c r="B98" s="9" t="s">
        <v>193</v>
      </c>
      <c r="C98" s="9" t="s">
        <v>113</v>
      </c>
      <c r="D98" s="10" t="s">
        <v>148</v>
      </c>
      <c r="E98" s="10" t="s">
        <v>204</v>
      </c>
      <c r="F98" s="9" t="s">
        <v>75</v>
      </c>
      <c r="G98" s="9" t="s">
        <v>24</v>
      </c>
      <c r="H98" s="3">
        <v>10.0</v>
      </c>
      <c r="I98" s="8">
        <v>10.0</v>
      </c>
      <c r="J98" s="3">
        <f t="shared" si="3"/>
        <v>0</v>
      </c>
      <c r="K98" s="6">
        <f t="shared" si="2"/>
        <v>1</v>
      </c>
    </row>
    <row r="99" ht="15.75" customHeight="1">
      <c r="A99" s="3">
        <f t="shared" si="5"/>
        <v>98</v>
      </c>
      <c r="B99" s="9" t="s">
        <v>193</v>
      </c>
      <c r="C99" s="9" t="s">
        <v>113</v>
      </c>
      <c r="D99" s="10" t="s">
        <v>148</v>
      </c>
      <c r="E99" s="10" t="s">
        <v>205</v>
      </c>
      <c r="F99" s="9" t="s">
        <v>75</v>
      </c>
      <c r="G99" s="9" t="s">
        <v>36</v>
      </c>
      <c r="H99" s="3">
        <v>10.0</v>
      </c>
      <c r="I99" s="8">
        <v>10.0</v>
      </c>
      <c r="J99" s="3">
        <f t="shared" si="3"/>
        <v>0</v>
      </c>
      <c r="K99" s="6">
        <f t="shared" si="2"/>
        <v>1</v>
      </c>
    </row>
    <row r="100" ht="15.75" customHeight="1">
      <c r="A100" s="3">
        <f t="shared" si="5"/>
        <v>99</v>
      </c>
      <c r="B100" s="11" t="s">
        <v>19</v>
      </c>
      <c r="C100" s="11" t="s">
        <v>113</v>
      </c>
      <c r="D100" s="12" t="s">
        <v>148</v>
      </c>
      <c r="E100" s="12" t="s">
        <v>206</v>
      </c>
      <c r="F100" s="13"/>
      <c r="G100" s="11" t="s">
        <v>40</v>
      </c>
      <c r="H100" s="14">
        <v>15.0</v>
      </c>
      <c r="I100" s="14">
        <v>15.0</v>
      </c>
      <c r="J100" s="15">
        <f t="shared" si="3"/>
        <v>0</v>
      </c>
      <c r="K100" s="16">
        <f t="shared" si="2"/>
        <v>1</v>
      </c>
    </row>
    <row r="101" ht="15.75" customHeight="1">
      <c r="B101" s="7"/>
      <c r="C101" s="7"/>
    </row>
    <row r="102" ht="15.75" customHeight="1">
      <c r="B102" s="7"/>
      <c r="C102" s="7"/>
    </row>
    <row r="103" ht="15.75" customHeight="1">
      <c r="B103" s="7"/>
      <c r="C103" s="7"/>
    </row>
    <row r="104" ht="15.75" customHeight="1">
      <c r="B104" s="7"/>
      <c r="C104" s="7"/>
    </row>
    <row r="105" ht="15.75" customHeight="1">
      <c r="B105" s="7"/>
      <c r="C105" s="7"/>
    </row>
    <row r="106" ht="15.75" customHeight="1">
      <c r="B106" s="7"/>
      <c r="C106" s="7"/>
    </row>
    <row r="107" ht="15.75" customHeight="1">
      <c r="B107" s="7"/>
      <c r="C107" s="7"/>
    </row>
    <row r="108" ht="15.75" customHeight="1">
      <c r="B108" s="7"/>
      <c r="C108" s="7"/>
    </row>
    <row r="109" ht="15.75" customHeight="1">
      <c r="B109" s="7"/>
      <c r="C109" s="7"/>
    </row>
    <row r="110" ht="15.75" customHeight="1">
      <c r="B110" s="7"/>
      <c r="C110" s="7"/>
    </row>
    <row r="111" ht="15.75" customHeight="1">
      <c r="B111" s="7"/>
      <c r="C111" s="7"/>
    </row>
    <row r="112" ht="15.75" customHeight="1">
      <c r="B112" s="7"/>
      <c r="C112" s="7"/>
    </row>
    <row r="113" ht="15.75" customHeight="1">
      <c r="B113" s="7"/>
      <c r="C113" s="7"/>
    </row>
    <row r="114" ht="15.75" customHeight="1">
      <c r="B114" s="7"/>
      <c r="C114" s="7"/>
    </row>
    <row r="115" ht="15.75" customHeight="1">
      <c r="B115" s="7"/>
      <c r="C115" s="7"/>
    </row>
    <row r="116" ht="15.75" customHeight="1">
      <c r="B116" s="7"/>
      <c r="C116" s="7"/>
    </row>
    <row r="117" ht="15.75" customHeight="1">
      <c r="B117" s="7"/>
      <c r="C117" s="7"/>
    </row>
    <row r="118" ht="15.75" customHeight="1">
      <c r="B118" s="7"/>
      <c r="C118" s="7"/>
    </row>
    <row r="119" ht="15.75" customHeight="1">
      <c r="B119" s="7"/>
      <c r="C119" s="7"/>
    </row>
    <row r="120" ht="15.75" customHeight="1">
      <c r="B120" s="7"/>
      <c r="C120" s="7"/>
    </row>
    <row r="121" ht="15.75" customHeight="1">
      <c r="B121" s="7"/>
      <c r="C121" s="7"/>
    </row>
    <row r="122" ht="15.75" customHeight="1">
      <c r="B122" s="7"/>
      <c r="C122" s="7"/>
    </row>
    <row r="123" ht="15.75" customHeight="1">
      <c r="B123" s="7"/>
      <c r="C123" s="7"/>
    </row>
    <row r="124" ht="15.75" customHeight="1">
      <c r="B124" s="7"/>
      <c r="C124" s="7"/>
    </row>
    <row r="125" ht="15.75" customHeight="1">
      <c r="B125" s="7"/>
      <c r="C125" s="7"/>
    </row>
    <row r="126" ht="15.75" customHeight="1">
      <c r="B126" s="7"/>
      <c r="C126" s="7"/>
    </row>
    <row r="127" ht="15.75" customHeight="1">
      <c r="B127" s="7"/>
      <c r="C127" s="7"/>
    </row>
    <row r="128" ht="15.75" customHeight="1">
      <c r="B128" s="7"/>
      <c r="C128" s="7"/>
    </row>
    <row r="129" ht="15.75" customHeight="1">
      <c r="B129" s="7"/>
      <c r="C129" s="7"/>
    </row>
    <row r="130" ht="15.75" customHeight="1">
      <c r="B130" s="7"/>
      <c r="C130" s="7"/>
    </row>
    <row r="131" ht="15.75" customHeight="1">
      <c r="B131" s="7"/>
      <c r="C131" s="7"/>
    </row>
    <row r="132" ht="15.75" customHeight="1">
      <c r="B132" s="7"/>
      <c r="C132" s="7"/>
    </row>
    <row r="133" ht="15.75" customHeight="1">
      <c r="B133" s="7"/>
      <c r="C133" s="7"/>
    </row>
    <row r="134" ht="15.75" customHeight="1">
      <c r="B134" s="7"/>
      <c r="C134" s="7"/>
    </row>
    <row r="135" ht="15.75" customHeight="1">
      <c r="B135" s="7"/>
      <c r="C135" s="7"/>
    </row>
    <row r="136" ht="15.75" customHeight="1">
      <c r="B136" s="7"/>
      <c r="C136" s="7"/>
    </row>
    <row r="137" ht="15.75" customHeight="1">
      <c r="B137" s="7"/>
      <c r="C137" s="7"/>
    </row>
    <row r="138" ht="15.75" customHeight="1">
      <c r="B138" s="7"/>
      <c r="C138" s="7"/>
    </row>
    <row r="139" ht="15.75" customHeight="1">
      <c r="B139" s="7"/>
      <c r="C139" s="7"/>
    </row>
    <row r="140" ht="15.75" customHeight="1">
      <c r="B140" s="7"/>
      <c r="C140" s="7"/>
    </row>
    <row r="141" ht="15.75" customHeight="1">
      <c r="B141" s="7"/>
      <c r="C141" s="7"/>
    </row>
    <row r="142" ht="15.75" customHeight="1">
      <c r="B142" s="7"/>
      <c r="C142" s="7"/>
    </row>
    <row r="143" ht="15.75" customHeight="1">
      <c r="B143" s="7"/>
      <c r="C143" s="7"/>
    </row>
    <row r="144" ht="15.75" customHeight="1">
      <c r="B144" s="7"/>
      <c r="C144" s="7"/>
    </row>
    <row r="145" ht="15.75" customHeight="1">
      <c r="B145" s="7"/>
      <c r="C145" s="7"/>
    </row>
    <row r="146" ht="15.75" customHeight="1">
      <c r="B146" s="7"/>
      <c r="C146" s="7"/>
    </row>
    <row r="147" ht="15.75" customHeight="1">
      <c r="B147" s="7"/>
      <c r="C147" s="7"/>
    </row>
    <row r="148" ht="15.75" customHeight="1">
      <c r="B148" s="7"/>
      <c r="C148" s="7"/>
    </row>
    <row r="149" ht="15.75" customHeight="1">
      <c r="B149" s="7"/>
      <c r="C149" s="7"/>
    </row>
    <row r="150" ht="15.75" customHeight="1">
      <c r="B150" s="7"/>
      <c r="C150" s="7"/>
    </row>
    <row r="151" ht="15.75" customHeight="1">
      <c r="B151" s="7"/>
      <c r="C151" s="7"/>
    </row>
    <row r="152" ht="15.75" customHeight="1">
      <c r="B152" s="7"/>
      <c r="C152" s="7"/>
    </row>
    <row r="153" ht="15.75" customHeight="1">
      <c r="B153" s="7"/>
      <c r="C153" s="7"/>
    </row>
    <row r="154" ht="15.75" customHeight="1">
      <c r="B154" s="7"/>
      <c r="C154" s="7"/>
    </row>
    <row r="155" ht="15.75" customHeight="1">
      <c r="B155" s="7"/>
      <c r="C155" s="7"/>
    </row>
    <row r="156" ht="15.75" customHeight="1">
      <c r="B156" s="7"/>
      <c r="C156" s="7"/>
    </row>
    <row r="157" ht="15.75" customHeight="1">
      <c r="B157" s="7"/>
      <c r="C157" s="7"/>
    </row>
    <row r="158" ht="15.75" customHeight="1">
      <c r="B158" s="7"/>
      <c r="C158" s="7"/>
    </row>
    <row r="159" ht="15.75" customHeight="1">
      <c r="B159" s="7"/>
      <c r="C159" s="7"/>
    </row>
    <row r="160" ht="15.75" customHeight="1">
      <c r="B160" s="7"/>
      <c r="C160" s="7"/>
    </row>
    <row r="161" ht="15.75" customHeight="1">
      <c r="B161" s="7"/>
      <c r="C161" s="7"/>
    </row>
    <row r="162" ht="15.75" customHeight="1">
      <c r="B162" s="7"/>
      <c r="C162" s="7"/>
    </row>
    <row r="163" ht="15.75" customHeight="1">
      <c r="B163" s="7"/>
      <c r="C163" s="7"/>
    </row>
    <row r="164" ht="15.75" customHeight="1">
      <c r="B164" s="7"/>
      <c r="C164" s="7"/>
    </row>
    <row r="165" ht="15.75" customHeight="1">
      <c r="B165" s="7"/>
      <c r="C165" s="7"/>
    </row>
    <row r="166" ht="15.75" customHeight="1">
      <c r="B166" s="7"/>
      <c r="C166" s="7"/>
    </row>
    <row r="167" ht="15.75" customHeight="1">
      <c r="B167" s="7"/>
      <c r="C167" s="7"/>
    </row>
    <row r="168" ht="15.75" customHeight="1">
      <c r="B168" s="7"/>
      <c r="C168" s="7"/>
    </row>
    <row r="169" ht="15.75" customHeight="1">
      <c r="B169" s="7"/>
      <c r="C169" s="7"/>
    </row>
    <row r="170" ht="15.75" customHeight="1">
      <c r="B170" s="7"/>
      <c r="C170" s="7"/>
    </row>
    <row r="171" ht="15.75" customHeight="1">
      <c r="B171" s="7"/>
      <c r="C171" s="7"/>
    </row>
    <row r="172" ht="15.75" customHeight="1">
      <c r="B172" s="7"/>
      <c r="C172" s="7"/>
    </row>
    <row r="173" ht="15.75" customHeight="1">
      <c r="B173" s="7"/>
      <c r="C173" s="7"/>
    </row>
    <row r="174" ht="15.75" customHeight="1">
      <c r="B174" s="7"/>
      <c r="C174" s="7"/>
    </row>
    <row r="175" ht="15.75" customHeight="1">
      <c r="B175" s="7"/>
      <c r="C175" s="7"/>
    </row>
    <row r="176" ht="15.75" customHeight="1">
      <c r="B176" s="7"/>
      <c r="C176" s="7"/>
    </row>
    <row r="177" ht="15.75" customHeight="1">
      <c r="B177" s="7"/>
      <c r="C177" s="7"/>
    </row>
    <row r="178" ht="15.75" customHeight="1">
      <c r="B178" s="7"/>
      <c r="C178" s="7"/>
    </row>
    <row r="179" ht="15.75" customHeight="1">
      <c r="B179" s="7"/>
      <c r="C179" s="7"/>
    </row>
    <row r="180" ht="15.75" customHeight="1">
      <c r="B180" s="7"/>
      <c r="C180" s="7"/>
    </row>
    <row r="181" ht="15.75" customHeight="1">
      <c r="B181" s="7"/>
      <c r="C181" s="7"/>
    </row>
    <row r="182" ht="15.75" customHeight="1">
      <c r="B182" s="7"/>
      <c r="C182" s="7"/>
    </row>
    <row r="183" ht="15.75" customHeight="1">
      <c r="B183" s="7"/>
      <c r="C183" s="7"/>
    </row>
    <row r="184" ht="15.75" customHeight="1">
      <c r="B184" s="7"/>
      <c r="C184" s="7"/>
    </row>
    <row r="185" ht="15.75" customHeight="1">
      <c r="B185" s="7"/>
      <c r="C185" s="7"/>
    </row>
    <row r="186" ht="15.75" customHeight="1">
      <c r="B186" s="7"/>
      <c r="C186" s="7"/>
    </row>
    <row r="187" ht="15.75" customHeight="1">
      <c r="B187" s="7"/>
      <c r="C187" s="7"/>
    </row>
    <row r="188" ht="15.75" customHeight="1">
      <c r="B188" s="7"/>
      <c r="C188" s="7"/>
    </row>
    <row r="189" ht="15.75" customHeight="1">
      <c r="B189" s="7"/>
      <c r="C189" s="7"/>
    </row>
    <row r="190" ht="15.75" customHeight="1">
      <c r="B190" s="7"/>
      <c r="C190" s="7"/>
    </row>
    <row r="191" ht="15.75" customHeight="1">
      <c r="B191" s="7"/>
      <c r="C191" s="7"/>
    </row>
    <row r="192" ht="15.75" customHeight="1">
      <c r="B192" s="7"/>
      <c r="C192" s="7"/>
    </row>
    <row r="193" ht="15.75" customHeight="1">
      <c r="B193" s="7"/>
      <c r="C193" s="7"/>
    </row>
    <row r="194" ht="15.75" customHeight="1">
      <c r="B194" s="7"/>
      <c r="C194" s="7"/>
    </row>
    <row r="195" ht="15.75" customHeight="1">
      <c r="B195" s="7"/>
      <c r="C195" s="7"/>
    </row>
    <row r="196" ht="15.75" customHeight="1">
      <c r="B196" s="7"/>
      <c r="C196" s="7"/>
    </row>
    <row r="197" ht="15.75" customHeight="1">
      <c r="B197" s="7"/>
      <c r="C197" s="7"/>
    </row>
    <row r="198" ht="15.75" customHeight="1">
      <c r="B198" s="7"/>
      <c r="C198" s="7"/>
    </row>
    <row r="199" ht="15.75" customHeight="1">
      <c r="B199" s="7"/>
      <c r="C199" s="7"/>
    </row>
    <row r="200" ht="15.75" customHeight="1">
      <c r="B200" s="7"/>
      <c r="C200" s="7"/>
    </row>
    <row r="201" ht="15.75" customHeight="1">
      <c r="B201" s="7"/>
      <c r="C201" s="7"/>
    </row>
    <row r="202" ht="15.75" customHeight="1">
      <c r="B202" s="7"/>
      <c r="C202" s="7"/>
    </row>
    <row r="203" ht="15.75" customHeight="1">
      <c r="B203" s="7"/>
      <c r="C203" s="7"/>
    </row>
    <row r="204" ht="15.75" customHeight="1">
      <c r="B204" s="7"/>
      <c r="C204" s="7"/>
    </row>
    <row r="205" ht="15.75" customHeight="1">
      <c r="B205" s="7"/>
      <c r="C205" s="7"/>
    </row>
    <row r="206" ht="15.75" customHeight="1">
      <c r="B206" s="7"/>
      <c r="C206" s="7"/>
    </row>
    <row r="207" ht="15.75" customHeight="1">
      <c r="B207" s="7"/>
      <c r="C207" s="7"/>
    </row>
    <row r="208" ht="15.75" customHeight="1">
      <c r="B208" s="7"/>
      <c r="C208" s="7"/>
    </row>
    <row r="209" ht="15.75" customHeight="1">
      <c r="B209" s="7"/>
      <c r="C209" s="7"/>
    </row>
    <row r="210" ht="15.75" customHeight="1">
      <c r="B210" s="7"/>
      <c r="C210" s="7"/>
    </row>
    <row r="211" ht="15.75" customHeight="1">
      <c r="B211" s="7"/>
      <c r="C211" s="7"/>
    </row>
    <row r="212" ht="15.75" customHeight="1">
      <c r="B212" s="7"/>
      <c r="C212" s="7"/>
    </row>
    <row r="213" ht="15.75" customHeight="1">
      <c r="B213" s="7"/>
      <c r="C213" s="7"/>
    </row>
    <row r="214" ht="15.75" customHeight="1">
      <c r="B214" s="7"/>
      <c r="C214" s="7"/>
    </row>
    <row r="215" ht="15.75" customHeight="1">
      <c r="B215" s="7"/>
      <c r="C215" s="7"/>
    </row>
    <row r="216" ht="15.75" customHeight="1">
      <c r="B216" s="7"/>
      <c r="C216" s="7"/>
    </row>
    <row r="217" ht="15.75" customHeight="1">
      <c r="B217" s="7"/>
      <c r="C217" s="7"/>
    </row>
    <row r="218" ht="15.75" customHeight="1">
      <c r="B218" s="7"/>
      <c r="C218" s="7"/>
    </row>
    <row r="219" ht="15.75" customHeight="1">
      <c r="B219" s="7"/>
      <c r="C219" s="7"/>
    </row>
    <row r="220" ht="15.75" customHeight="1">
      <c r="B220" s="7"/>
      <c r="C220" s="7"/>
    </row>
    <row r="221" ht="15.75" customHeight="1">
      <c r="B221" s="7"/>
      <c r="C221" s="7"/>
    </row>
    <row r="222" ht="15.75" customHeight="1">
      <c r="B222" s="7"/>
      <c r="C222" s="7"/>
    </row>
    <row r="223" ht="15.75" customHeight="1">
      <c r="B223" s="7"/>
      <c r="C223" s="7"/>
    </row>
    <row r="224" ht="15.75" customHeight="1">
      <c r="B224" s="7"/>
      <c r="C224" s="7"/>
    </row>
    <row r="225" ht="15.75" customHeight="1">
      <c r="B225" s="7"/>
      <c r="C225" s="7"/>
    </row>
    <row r="226" ht="15.75" customHeight="1">
      <c r="B226" s="7"/>
      <c r="C226" s="7"/>
    </row>
    <row r="227" ht="15.75" customHeight="1">
      <c r="B227" s="7"/>
      <c r="C227" s="7"/>
    </row>
    <row r="228" ht="15.75" customHeight="1">
      <c r="B228" s="7"/>
      <c r="C228" s="7"/>
    </row>
    <row r="229" ht="15.75" customHeight="1">
      <c r="B229" s="7"/>
      <c r="C229" s="7"/>
    </row>
    <row r="230" ht="15.75" customHeight="1">
      <c r="B230" s="7"/>
      <c r="C230" s="7"/>
    </row>
    <row r="231" ht="15.75" customHeight="1">
      <c r="B231" s="7"/>
      <c r="C231" s="7"/>
    </row>
    <row r="232" ht="15.75" customHeight="1">
      <c r="B232" s="7"/>
      <c r="C232" s="7"/>
    </row>
    <row r="233" ht="15.75" customHeight="1">
      <c r="B233" s="7"/>
      <c r="C233" s="7"/>
    </row>
    <row r="234" ht="15.75" customHeight="1">
      <c r="B234" s="7"/>
      <c r="C234" s="7"/>
    </row>
    <row r="235" ht="15.75" customHeight="1">
      <c r="B235" s="7"/>
      <c r="C235" s="7"/>
    </row>
    <row r="236" ht="15.75" customHeight="1">
      <c r="B236" s="7"/>
      <c r="C236" s="7"/>
    </row>
    <row r="237" ht="15.75" customHeight="1">
      <c r="B237" s="7"/>
      <c r="C237" s="7"/>
    </row>
    <row r="238" ht="15.75" customHeight="1">
      <c r="B238" s="7"/>
      <c r="C238" s="7"/>
    </row>
    <row r="239" ht="15.75" customHeight="1">
      <c r="B239" s="7"/>
      <c r="C239" s="7"/>
    </row>
    <row r="240" ht="15.75" customHeight="1">
      <c r="B240" s="7"/>
      <c r="C240" s="7"/>
    </row>
    <row r="241" ht="15.75" customHeight="1">
      <c r="B241" s="7"/>
      <c r="C241" s="7"/>
    </row>
    <row r="242" ht="15.75" customHeight="1">
      <c r="B242" s="7"/>
      <c r="C242" s="7"/>
    </row>
    <row r="243" ht="15.75" customHeight="1">
      <c r="B243" s="7"/>
      <c r="C243" s="7"/>
    </row>
    <row r="244" ht="15.75" customHeight="1">
      <c r="B244" s="7"/>
      <c r="C244" s="7"/>
    </row>
    <row r="245" ht="15.75" customHeight="1">
      <c r="B245" s="7"/>
      <c r="C245" s="7"/>
    </row>
    <row r="246" ht="15.75" customHeight="1">
      <c r="B246" s="7"/>
      <c r="C246" s="7"/>
    </row>
    <row r="247" ht="15.75" customHeight="1">
      <c r="B247" s="7"/>
      <c r="C247" s="7"/>
    </row>
    <row r="248" ht="15.75" customHeight="1">
      <c r="B248" s="7"/>
      <c r="C248" s="7"/>
    </row>
    <row r="249" ht="15.75" customHeight="1">
      <c r="B249" s="7"/>
      <c r="C249" s="7"/>
    </row>
    <row r="250" ht="15.75" customHeight="1">
      <c r="B250" s="7"/>
      <c r="C250" s="7"/>
    </row>
    <row r="251" ht="15.75" customHeight="1">
      <c r="B251" s="7"/>
      <c r="C251" s="7"/>
    </row>
    <row r="252" ht="15.75" customHeight="1">
      <c r="B252" s="7"/>
      <c r="C252" s="7"/>
    </row>
    <row r="253" ht="15.75" customHeight="1">
      <c r="B253" s="7"/>
      <c r="C253" s="7"/>
    </row>
    <row r="254" ht="15.75" customHeight="1">
      <c r="B254" s="7"/>
      <c r="C254" s="7"/>
    </row>
    <row r="255" ht="15.75" customHeight="1">
      <c r="B255" s="7"/>
      <c r="C255" s="7"/>
    </row>
    <row r="256" ht="15.75" customHeight="1">
      <c r="B256" s="7"/>
      <c r="C256" s="7"/>
    </row>
    <row r="257" ht="15.75" customHeight="1">
      <c r="B257" s="7"/>
      <c r="C257" s="7"/>
    </row>
    <row r="258" ht="15.75" customHeight="1">
      <c r="B258" s="7"/>
      <c r="C258" s="7"/>
    </row>
    <row r="259" ht="15.75" customHeight="1">
      <c r="B259" s="7"/>
      <c r="C259" s="7"/>
    </row>
    <row r="260" ht="15.75" customHeight="1">
      <c r="B260" s="7"/>
      <c r="C260" s="7"/>
    </row>
    <row r="261" ht="15.75" customHeight="1">
      <c r="B261" s="7"/>
      <c r="C261" s="7"/>
    </row>
    <row r="262" ht="15.75" customHeight="1">
      <c r="B262" s="7"/>
      <c r="C262" s="7"/>
    </row>
    <row r="263" ht="15.75" customHeight="1">
      <c r="B263" s="7"/>
      <c r="C263" s="7"/>
    </row>
    <row r="264" ht="15.75" customHeight="1">
      <c r="B264" s="7"/>
      <c r="C264" s="7"/>
    </row>
    <row r="265" ht="15.75" customHeight="1">
      <c r="B265" s="7"/>
      <c r="C265" s="7"/>
    </row>
    <row r="266" ht="15.75" customHeight="1">
      <c r="B266" s="7"/>
      <c r="C266" s="7"/>
    </row>
    <row r="267" ht="15.75" customHeight="1">
      <c r="B267" s="7"/>
      <c r="C267" s="7"/>
    </row>
    <row r="268" ht="15.75" customHeight="1">
      <c r="B268" s="7"/>
      <c r="C268" s="7"/>
    </row>
    <row r="269" ht="15.75" customHeight="1">
      <c r="B269" s="7"/>
      <c r="C269" s="7"/>
    </row>
    <row r="270" ht="15.75" customHeight="1">
      <c r="B270" s="7"/>
      <c r="C270" s="7"/>
    </row>
    <row r="271" ht="15.75" customHeight="1">
      <c r="B271" s="7"/>
      <c r="C271" s="7"/>
    </row>
    <row r="272" ht="15.75" customHeight="1">
      <c r="B272" s="7"/>
      <c r="C272" s="7"/>
    </row>
    <row r="273" ht="15.75" customHeight="1">
      <c r="B273" s="7"/>
      <c r="C273" s="7"/>
    </row>
    <row r="274" ht="15.75" customHeight="1">
      <c r="B274" s="7"/>
      <c r="C274" s="7"/>
    </row>
    <row r="275" ht="15.75" customHeight="1">
      <c r="B275" s="7"/>
      <c r="C275" s="7"/>
    </row>
    <row r="276" ht="15.75" customHeight="1">
      <c r="B276" s="7"/>
      <c r="C276" s="7"/>
    </row>
    <row r="277" ht="15.75" customHeight="1">
      <c r="B277" s="7"/>
      <c r="C277" s="7"/>
    </row>
    <row r="278" ht="15.75" customHeight="1">
      <c r="B278" s="7"/>
      <c r="C278" s="7"/>
    </row>
    <row r="279" ht="15.75" customHeight="1">
      <c r="B279" s="7"/>
      <c r="C279" s="7"/>
    </row>
    <row r="280" ht="15.75" customHeight="1">
      <c r="B280" s="7"/>
      <c r="C280" s="7"/>
    </row>
    <row r="281" ht="15.75" customHeight="1">
      <c r="B281" s="7"/>
      <c r="C281" s="7"/>
    </row>
    <row r="282" ht="15.75" customHeight="1">
      <c r="B282" s="7"/>
      <c r="C282" s="7"/>
    </row>
    <row r="283" ht="15.75" customHeight="1">
      <c r="B283" s="7"/>
      <c r="C283" s="7"/>
    </row>
    <row r="284" ht="15.75" customHeight="1">
      <c r="B284" s="7"/>
      <c r="C284" s="7"/>
    </row>
    <row r="285" ht="15.75" customHeight="1">
      <c r="B285" s="7"/>
      <c r="C285" s="7"/>
    </row>
    <row r="286" ht="15.75" customHeight="1">
      <c r="B286" s="7"/>
      <c r="C286" s="7"/>
    </row>
    <row r="287" ht="15.75" customHeight="1">
      <c r="B287" s="7"/>
      <c r="C287" s="7"/>
    </row>
    <row r="288" ht="15.75" customHeight="1">
      <c r="B288" s="7"/>
      <c r="C288" s="7"/>
    </row>
    <row r="289" ht="15.75" customHeight="1">
      <c r="B289" s="7"/>
      <c r="C289" s="7"/>
    </row>
    <row r="290" ht="15.75" customHeight="1">
      <c r="B290" s="7"/>
      <c r="C290" s="7"/>
    </row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dataValidations>
    <dataValidation type="list" allowBlank="1" showErrorMessage="1" sqref="F2:F100">
      <formula1>"Métier,Intégration,Test,Technique,Affichage"</formula1>
    </dataValidation>
    <dataValidation type="list" allowBlank="1" showErrorMessage="1" sqref="B2:B100">
      <formula1>"Backoffice,Infrastructure,Frontend,Mobile"</formula1>
    </dataValidation>
    <dataValidation type="custom" allowBlank="1" showDropDown="1" sqref="A2:A100 H2:K100">
      <formula1>AND(ISNUMBER(A2),(NOT(OR(NOT(ISERROR(DATEVALUE(A2))), AND(ISNUMBER(A2), LEFT(CELL("format", A2))="D")))))</formula1>
    </dataValidation>
    <dataValidation type="list" allowBlank="1" showErrorMessage="1" sqref="G2:G100">
      <formula1>"ETU3081,ETU3129,ETU3123,ETU3300"</formula1>
    </dataValidation>
    <dataValidation type="list" allowBlank="1" showErrorMessage="1" sqref="C2:C100">
      <formula1>"Auth API,Cartes,Web Utilisateur,Web Visiteur,Web Manager,Carte,Auth,Signalement,Sync,UX,Tests,Build"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5.25"/>
    <col customWidth="1" min="3" max="3" width="17.25"/>
    <col customWidth="1" min="4" max="4" width="16.88"/>
    <col customWidth="1" min="5" max="6" width="12.63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>
      <c r="A8" s="29"/>
      <c r="B8" s="29"/>
      <c r="C8" s="30"/>
      <c r="D8" s="31"/>
    </row>
    <row r="9" ht="15.75" customHeight="1"/>
    <row r="10" ht="15.75" customHeight="1"/>
    <row r="11" ht="15.75" customHeight="1"/>
    <row r="12" ht="15.75" customHeight="1">
      <c r="A12" s="32" t="s">
        <v>18</v>
      </c>
      <c r="B12" s="33">
        <f>avancement!D2</f>
        <v>0.9887471868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17.88"/>
    <col customWidth="1" min="3" max="3" width="17.0"/>
    <col customWidth="1" min="4" max="4" width="18.25"/>
    <col customWidth="1" min="5" max="5" width="13.75"/>
    <col customWidth="1" min="6" max="6" width="12.63"/>
  </cols>
  <sheetData>
    <row r="1" ht="15.75" customHeight="1">
      <c r="A1" s="34" t="s">
        <v>211</v>
      </c>
      <c r="B1" s="34" t="s">
        <v>212</v>
      </c>
      <c r="C1" s="34" t="s">
        <v>213</v>
      </c>
      <c r="D1" s="34" t="s">
        <v>214</v>
      </c>
      <c r="E1" s="34" t="s">
        <v>215</v>
      </c>
    </row>
    <row r="2" ht="15.75" customHeight="1">
      <c r="A2" s="35">
        <f>SUM('liste des taches'!H:H)</f>
        <v>1333</v>
      </c>
      <c r="B2" s="35">
        <f>SUM('liste des taches'!I:I)</f>
        <v>1318</v>
      </c>
      <c r="C2" s="35">
        <f>SUM('liste des taches'!J:J)</f>
        <v>15</v>
      </c>
      <c r="D2" s="36">
        <f>(B2/(B2+C2))</f>
        <v>0.9887471868</v>
      </c>
      <c r="E2" s="37">
        <f>((B2+C2)-A2)/A2</f>
        <v>0</v>
      </c>
    </row>
    <row r="3" ht="15.75" customHeight="1">
      <c r="A3" s="38"/>
      <c r="B3" s="38"/>
      <c r="C3" s="35">
        <f>C2/60</f>
        <v>0.25</v>
      </c>
      <c r="D3" s="38" t="s">
        <v>216</v>
      </c>
      <c r="E3" s="38"/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9" t="s">
        <v>8</v>
      </c>
      <c r="B1" s="40" t="s">
        <v>217</v>
      </c>
      <c r="C1" s="41">
        <v>46042.0</v>
      </c>
      <c r="D1" s="41">
        <v>46043.0</v>
      </c>
      <c r="E1" s="41">
        <v>46044.0</v>
      </c>
      <c r="F1" s="41">
        <v>46045.0</v>
      </c>
      <c r="G1" s="41">
        <v>46046.0</v>
      </c>
      <c r="H1" s="41">
        <v>46047.0</v>
      </c>
      <c r="I1" s="41">
        <v>46048.0</v>
      </c>
      <c r="J1" s="41">
        <v>46049.0</v>
      </c>
      <c r="K1" s="41">
        <v>46050.0</v>
      </c>
      <c r="L1" s="41">
        <v>46051.0</v>
      </c>
      <c r="M1" s="41">
        <v>46052.0</v>
      </c>
      <c r="N1" s="41">
        <v>46053.0</v>
      </c>
      <c r="O1" s="41">
        <v>46054.0</v>
      </c>
      <c r="P1" s="41">
        <v>46055.0</v>
      </c>
      <c r="Q1" s="41">
        <v>46056.0</v>
      </c>
      <c r="R1" s="41">
        <v>46057.0</v>
      </c>
      <c r="S1" s="41">
        <v>46058.0</v>
      </c>
      <c r="T1" s="41">
        <v>46059.0</v>
      </c>
      <c r="U1" s="41">
        <v>46060.0</v>
      </c>
      <c r="V1" s="41">
        <v>46061.0</v>
      </c>
      <c r="W1" s="41">
        <v>46062.0</v>
      </c>
      <c r="X1" s="41">
        <v>46063.0</v>
      </c>
      <c r="Y1" s="42"/>
      <c r="Z1" s="42"/>
    </row>
    <row r="2" ht="15.75" customHeight="1">
      <c r="A2" s="43">
        <v>1.0</v>
      </c>
      <c r="B2" s="44">
        <f>SUM(C2,X2)</f>
        <v>10</v>
      </c>
      <c r="C2" s="42">
        <v>10.0</v>
      </c>
      <c r="D2" s="43"/>
      <c r="E2" s="42"/>
      <c r="F2" s="42"/>
      <c r="G2" s="42"/>
      <c r="H2" s="42"/>
      <c r="I2" s="42"/>
      <c r="J2" s="42">
        <v>5.0</v>
      </c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ht="15.75" customHeight="1">
      <c r="A3" s="43">
        <v>2.0</v>
      </c>
      <c r="B3" s="44">
        <f t="shared" ref="B3:B87" si="1">SUM(C3,R3)</f>
        <v>15</v>
      </c>
      <c r="C3" s="42">
        <v>15.0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43">
        <v>3.0</v>
      </c>
      <c r="B4" s="44">
        <f t="shared" si="1"/>
        <v>5</v>
      </c>
      <c r="C4" s="43">
        <v>5.0</v>
      </c>
      <c r="D4" s="43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43">
        <v>4.0</v>
      </c>
      <c r="B5" s="44">
        <f t="shared" si="1"/>
        <v>8</v>
      </c>
      <c r="C5" s="42">
        <v>8.0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43">
        <v>5.0</v>
      </c>
      <c r="B6" s="44">
        <f t="shared" si="1"/>
        <v>10</v>
      </c>
      <c r="C6" s="42">
        <v>10.0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43">
        <v>6.0</v>
      </c>
      <c r="B7" s="44">
        <f t="shared" si="1"/>
        <v>10</v>
      </c>
      <c r="C7" s="42">
        <v>10.0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43">
        <v>7.0</v>
      </c>
      <c r="B8" s="44">
        <f t="shared" si="1"/>
        <v>5</v>
      </c>
      <c r="C8" s="42">
        <v>5.0</v>
      </c>
      <c r="D8" s="42">
        <v>10.0</v>
      </c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42">
        <v>8.0</v>
      </c>
      <c r="B9" s="44">
        <f t="shared" si="1"/>
        <v>0</v>
      </c>
      <c r="C9" s="42"/>
      <c r="D9" s="42">
        <v>15.0</v>
      </c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42">
        <f t="shared" ref="A10:A100" si="2">A9+1</f>
        <v>9</v>
      </c>
      <c r="B10" s="44">
        <f t="shared" si="1"/>
        <v>0</v>
      </c>
      <c r="C10" s="42"/>
      <c r="D10" s="42">
        <v>5.0</v>
      </c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42">
        <f t="shared" si="2"/>
        <v>10</v>
      </c>
      <c r="B11" s="44">
        <f t="shared" si="1"/>
        <v>0</v>
      </c>
      <c r="C11" s="42"/>
      <c r="D11" s="42">
        <v>5.0</v>
      </c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42">
        <f t="shared" si="2"/>
        <v>11</v>
      </c>
      <c r="B12" s="44">
        <f t="shared" si="1"/>
        <v>10</v>
      </c>
      <c r="C12" s="42">
        <v>10.0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15.75" customHeight="1">
      <c r="A13" s="42">
        <f t="shared" si="2"/>
        <v>12</v>
      </c>
      <c r="B13" s="44">
        <f t="shared" si="1"/>
        <v>10</v>
      </c>
      <c r="C13" s="42">
        <v>10.0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ht="15.75" customHeight="1">
      <c r="A14" s="42">
        <f t="shared" si="2"/>
        <v>13</v>
      </c>
      <c r="B14" s="44">
        <f t="shared" si="1"/>
        <v>15</v>
      </c>
      <c r="C14" s="42">
        <v>15.0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5.75" customHeight="1">
      <c r="A15" s="42">
        <f t="shared" si="2"/>
        <v>14</v>
      </c>
      <c r="B15" s="44">
        <f t="shared" si="1"/>
        <v>15</v>
      </c>
      <c r="C15" s="42">
        <v>15.0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ht="15.75" customHeight="1">
      <c r="A16" s="42">
        <f t="shared" si="2"/>
        <v>15</v>
      </c>
      <c r="B16" s="44">
        <f t="shared" si="1"/>
        <v>10</v>
      </c>
      <c r="C16" s="42">
        <v>10.0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ht="15.75" customHeight="1">
      <c r="A17" s="42">
        <f t="shared" si="2"/>
        <v>16</v>
      </c>
      <c r="B17" s="44">
        <f t="shared" si="1"/>
        <v>10</v>
      </c>
      <c r="C17" s="42">
        <v>10.0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ht="15.75" customHeight="1">
      <c r="A18" s="42">
        <f t="shared" si="2"/>
        <v>17</v>
      </c>
      <c r="B18" s="44">
        <f t="shared" si="1"/>
        <v>0</v>
      </c>
      <c r="C18" s="42"/>
      <c r="D18" s="42">
        <v>15.0</v>
      </c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ht="15.75" customHeight="1">
      <c r="A19" s="42">
        <f t="shared" si="2"/>
        <v>18</v>
      </c>
      <c r="B19" s="44">
        <f t="shared" si="1"/>
        <v>0</v>
      </c>
      <c r="C19" s="42"/>
      <c r="D19" s="42">
        <v>15.0</v>
      </c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ht="15.75" customHeight="1">
      <c r="A20" s="42">
        <f t="shared" si="2"/>
        <v>19</v>
      </c>
      <c r="B20" s="44">
        <f t="shared" si="1"/>
        <v>0</v>
      </c>
      <c r="C20" s="42"/>
      <c r="D20" s="42">
        <v>20.0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ht="15.75" customHeight="1">
      <c r="A21" s="42">
        <f t="shared" si="2"/>
        <v>20</v>
      </c>
      <c r="B21" s="44">
        <f t="shared" si="1"/>
        <v>0</v>
      </c>
      <c r="C21" s="42"/>
      <c r="D21" s="42"/>
      <c r="E21" s="42">
        <v>25.0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ht="15.75" customHeight="1">
      <c r="A22" s="42">
        <f t="shared" si="2"/>
        <v>21</v>
      </c>
      <c r="B22" s="44">
        <f t="shared" si="1"/>
        <v>0</v>
      </c>
      <c r="C22" s="42"/>
      <c r="D22" s="42"/>
      <c r="E22" s="42">
        <v>15.0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ht="15.75" customHeight="1">
      <c r="A23" s="42">
        <f t="shared" si="2"/>
        <v>22</v>
      </c>
      <c r="B23" s="44">
        <f t="shared" si="1"/>
        <v>0</v>
      </c>
      <c r="C23" s="42"/>
      <c r="D23" s="42"/>
      <c r="E23" s="42">
        <v>10.0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ht="15.75" customHeight="1">
      <c r="A24" s="42">
        <f t="shared" si="2"/>
        <v>23</v>
      </c>
      <c r="B24" s="44">
        <f t="shared" si="1"/>
        <v>0</v>
      </c>
      <c r="C24" s="42"/>
      <c r="D24" s="42"/>
      <c r="E24" s="42">
        <v>10.0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ht="15.75" customHeight="1">
      <c r="A25" s="42">
        <f t="shared" si="2"/>
        <v>24</v>
      </c>
      <c r="B25" s="44">
        <f t="shared" si="1"/>
        <v>0</v>
      </c>
      <c r="C25" s="42"/>
      <c r="D25" s="42"/>
      <c r="E25" s="42">
        <v>5.0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ht="15.75" customHeight="1">
      <c r="A26" s="42">
        <f t="shared" si="2"/>
        <v>25</v>
      </c>
      <c r="B26" s="44">
        <f t="shared" si="1"/>
        <v>0</v>
      </c>
      <c r="C26" s="42"/>
      <c r="D26" s="42"/>
      <c r="E26" s="42">
        <v>15.0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ht="15.75" customHeight="1">
      <c r="A27" s="42">
        <f t="shared" si="2"/>
        <v>26</v>
      </c>
      <c r="B27" s="44">
        <f t="shared" si="1"/>
        <v>0</v>
      </c>
      <c r="C27" s="42"/>
      <c r="D27" s="42"/>
      <c r="E27" s="42">
        <v>15.0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ht="15.75" customHeight="1">
      <c r="A28" s="42">
        <f t="shared" si="2"/>
        <v>27</v>
      </c>
      <c r="B28" s="44">
        <f t="shared" si="1"/>
        <v>0</v>
      </c>
      <c r="C28" s="42"/>
      <c r="D28" s="42"/>
      <c r="E28" s="42">
        <v>10.0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ht="15.75" customHeight="1">
      <c r="A29" s="42">
        <f t="shared" si="2"/>
        <v>28</v>
      </c>
      <c r="B29" s="44">
        <f t="shared" si="1"/>
        <v>0</v>
      </c>
      <c r="C29" s="42"/>
      <c r="D29" s="42"/>
      <c r="E29" s="42">
        <v>5.0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ht="15.75" customHeight="1">
      <c r="A30" s="42">
        <f t="shared" si="2"/>
        <v>29</v>
      </c>
      <c r="B30" s="44">
        <f t="shared" si="1"/>
        <v>0</v>
      </c>
      <c r="C30" s="42"/>
      <c r="D30" s="42"/>
      <c r="E30" s="42">
        <v>10.0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ht="15.75" customHeight="1">
      <c r="A31" s="42">
        <f t="shared" si="2"/>
        <v>30</v>
      </c>
      <c r="B31" s="44">
        <f t="shared" si="1"/>
        <v>0</v>
      </c>
      <c r="C31" s="42"/>
      <c r="D31" s="42"/>
      <c r="E31" s="42">
        <v>25.0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ht="15.75" customHeight="1">
      <c r="A32" s="42">
        <f t="shared" si="2"/>
        <v>31</v>
      </c>
      <c r="B32" s="44">
        <f t="shared" si="1"/>
        <v>0</v>
      </c>
      <c r="C32" s="42"/>
      <c r="D32" s="42"/>
      <c r="E32" s="42">
        <v>20.0</v>
      </c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ht="15.75" customHeight="1">
      <c r="A33" s="42">
        <f t="shared" si="2"/>
        <v>32</v>
      </c>
      <c r="B33" s="44">
        <f t="shared" si="1"/>
        <v>0</v>
      </c>
      <c r="C33" s="42"/>
      <c r="D33" s="42"/>
      <c r="E33" s="42"/>
      <c r="F33" s="42"/>
      <c r="G33" s="42">
        <v>15.0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ht="15.75" customHeight="1">
      <c r="A34" s="42">
        <f t="shared" si="2"/>
        <v>33</v>
      </c>
      <c r="B34" s="44">
        <f t="shared" si="1"/>
        <v>0</v>
      </c>
      <c r="C34" s="42"/>
      <c r="D34" s="42"/>
      <c r="E34" s="42"/>
      <c r="F34" s="42"/>
      <c r="G34" s="42">
        <v>15.0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ht="15.75" customHeight="1">
      <c r="A35" s="42">
        <f t="shared" si="2"/>
        <v>34</v>
      </c>
      <c r="B35" s="44">
        <f t="shared" si="1"/>
        <v>0</v>
      </c>
      <c r="C35" s="42"/>
      <c r="D35" s="42"/>
      <c r="E35" s="42"/>
      <c r="F35" s="42"/>
      <c r="G35" s="42">
        <v>15.0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ht="15.75" customHeight="1">
      <c r="A36" s="42">
        <f t="shared" si="2"/>
        <v>35</v>
      </c>
      <c r="B36" s="44">
        <f t="shared" si="1"/>
        <v>0</v>
      </c>
      <c r="C36" s="42"/>
      <c r="D36" s="42"/>
      <c r="E36" s="42"/>
      <c r="F36" s="42"/>
      <c r="G36" s="42">
        <v>20.0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ht="15.75" customHeight="1">
      <c r="A37" s="42">
        <f t="shared" si="2"/>
        <v>36</v>
      </c>
      <c r="B37" s="44">
        <f t="shared" si="1"/>
        <v>0</v>
      </c>
      <c r="C37" s="42"/>
      <c r="D37" s="42"/>
      <c r="E37" s="42"/>
      <c r="F37" s="42"/>
      <c r="G37" s="42">
        <v>10.0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ht="15.75" customHeight="1">
      <c r="A38" s="42">
        <f t="shared" si="2"/>
        <v>37</v>
      </c>
      <c r="B38" s="44">
        <f t="shared" si="1"/>
        <v>0</v>
      </c>
      <c r="C38" s="42"/>
      <c r="D38" s="42">
        <v>15.0</v>
      </c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ht="15.75" customHeight="1">
      <c r="A39" s="42">
        <f t="shared" si="2"/>
        <v>38</v>
      </c>
      <c r="B39" s="44">
        <f t="shared" si="1"/>
        <v>10</v>
      </c>
      <c r="C39" s="42">
        <v>10.0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ht="15.75" customHeight="1">
      <c r="A40" s="42">
        <f t="shared" si="2"/>
        <v>39</v>
      </c>
      <c r="B40" s="44">
        <f t="shared" si="1"/>
        <v>0</v>
      </c>
      <c r="C40" s="42"/>
      <c r="D40" s="42">
        <v>10.0</v>
      </c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ht="15.75" customHeight="1">
      <c r="A41" s="42">
        <f t="shared" si="2"/>
        <v>40</v>
      </c>
      <c r="B41" s="44">
        <f t="shared" si="1"/>
        <v>0</v>
      </c>
      <c r="C41" s="42"/>
      <c r="D41" s="42">
        <v>5.0</v>
      </c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ht="15.75" customHeight="1">
      <c r="A42" s="42">
        <f t="shared" si="2"/>
        <v>41</v>
      </c>
      <c r="B42" s="44">
        <f t="shared" si="1"/>
        <v>0</v>
      </c>
      <c r="C42" s="42"/>
      <c r="D42" s="42"/>
      <c r="E42" s="42"/>
      <c r="F42" s="42"/>
      <c r="G42" s="42">
        <v>15.0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ht="15.75" customHeight="1">
      <c r="A43" s="42">
        <f t="shared" si="2"/>
        <v>42</v>
      </c>
      <c r="B43" s="44">
        <f t="shared" si="1"/>
        <v>10</v>
      </c>
      <c r="C43" s="42">
        <v>10.0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ht="15.75" customHeight="1">
      <c r="A44" s="42">
        <f t="shared" si="2"/>
        <v>43</v>
      </c>
      <c r="B44" s="44">
        <f t="shared" si="1"/>
        <v>10</v>
      </c>
      <c r="C44" s="42">
        <v>10.0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ht="15.75" customHeight="1">
      <c r="A45" s="42">
        <f t="shared" si="2"/>
        <v>44</v>
      </c>
      <c r="B45" s="44">
        <f t="shared" si="1"/>
        <v>0</v>
      </c>
      <c r="C45" s="42"/>
      <c r="D45" s="42"/>
      <c r="E45" s="42"/>
      <c r="F45" s="42"/>
      <c r="G45" s="42"/>
      <c r="H45" s="42"/>
      <c r="I45" s="42"/>
      <c r="J45" s="42">
        <v>10.0</v>
      </c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ht="15.75" customHeight="1">
      <c r="A46" s="42">
        <f t="shared" si="2"/>
        <v>45</v>
      </c>
      <c r="B46" s="44">
        <f t="shared" si="1"/>
        <v>0</v>
      </c>
      <c r="C46" s="42"/>
      <c r="D46" s="42"/>
      <c r="E46" s="42"/>
      <c r="F46" s="42"/>
      <c r="G46" s="42"/>
      <c r="H46" s="42"/>
      <c r="I46" s="42"/>
      <c r="J46" s="42">
        <v>15.0</v>
      </c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ht="15.75" customHeight="1">
      <c r="A47" s="42">
        <f t="shared" si="2"/>
        <v>46</v>
      </c>
      <c r="B47" s="44">
        <f t="shared" si="1"/>
        <v>0</v>
      </c>
      <c r="C47" s="42"/>
      <c r="D47" s="42"/>
      <c r="E47" s="42"/>
      <c r="F47" s="42"/>
      <c r="G47" s="42"/>
      <c r="H47" s="42"/>
      <c r="I47" s="42"/>
      <c r="J47" s="42">
        <v>20.0</v>
      </c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ht="15.75" customHeight="1">
      <c r="A48" s="42">
        <f t="shared" si="2"/>
        <v>47</v>
      </c>
      <c r="B48" s="44">
        <f t="shared" si="1"/>
        <v>5</v>
      </c>
      <c r="C48" s="42">
        <v>5.0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ht="15.75" customHeight="1">
      <c r="A49" s="42">
        <f t="shared" si="2"/>
        <v>48</v>
      </c>
      <c r="B49" s="44">
        <f t="shared" si="1"/>
        <v>10</v>
      </c>
      <c r="C49" s="42">
        <v>10.0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ht="15.75" customHeight="1">
      <c r="A50" s="42">
        <f t="shared" si="2"/>
        <v>49</v>
      </c>
      <c r="B50" s="44">
        <f t="shared" si="1"/>
        <v>5</v>
      </c>
      <c r="C50" s="42">
        <v>5.0</v>
      </c>
      <c r="D50" s="42">
        <v>10.0</v>
      </c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ht="15.75" customHeight="1">
      <c r="A51" s="42">
        <f t="shared" si="2"/>
        <v>50</v>
      </c>
      <c r="B51" s="44">
        <f t="shared" si="1"/>
        <v>0</v>
      </c>
      <c r="C51" s="42"/>
      <c r="D51" s="42"/>
      <c r="E51" s="42"/>
      <c r="F51" s="42"/>
      <c r="G51" s="42"/>
      <c r="H51" s="42"/>
      <c r="I51" s="42"/>
      <c r="J51" s="42">
        <v>20.0</v>
      </c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ht="15.75" customHeight="1">
      <c r="A52" s="42">
        <f t="shared" si="2"/>
        <v>51</v>
      </c>
      <c r="B52" s="44">
        <f t="shared" si="1"/>
        <v>0</v>
      </c>
      <c r="C52" s="42"/>
      <c r="D52" s="42"/>
      <c r="E52" s="42">
        <v>25.0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ht="15.75" customHeight="1">
      <c r="A53" s="42">
        <f t="shared" si="2"/>
        <v>52</v>
      </c>
      <c r="B53" s="44">
        <f t="shared" si="1"/>
        <v>10</v>
      </c>
      <c r="C53" s="42">
        <v>10.0</v>
      </c>
      <c r="D53" s="42">
        <v>10.0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ht="15.75" customHeight="1">
      <c r="A54" s="42">
        <f t="shared" si="2"/>
        <v>53</v>
      </c>
      <c r="B54" s="44">
        <f t="shared" si="1"/>
        <v>10</v>
      </c>
      <c r="C54" s="42">
        <v>10.0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ht="15.75" customHeight="1">
      <c r="A55" s="42">
        <f t="shared" si="2"/>
        <v>54</v>
      </c>
      <c r="B55" s="44">
        <f t="shared" si="1"/>
        <v>10</v>
      </c>
      <c r="C55" s="42">
        <v>10.0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ht="15.75" customHeight="1">
      <c r="A56" s="42">
        <f t="shared" si="2"/>
        <v>55</v>
      </c>
      <c r="B56" s="44">
        <f t="shared" si="1"/>
        <v>10</v>
      </c>
      <c r="C56" s="42">
        <v>10.0</v>
      </c>
      <c r="D56" s="42">
        <v>5.0</v>
      </c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ht="15.75" customHeight="1">
      <c r="A57" s="42">
        <f t="shared" si="2"/>
        <v>56</v>
      </c>
      <c r="B57" s="44">
        <f t="shared" si="1"/>
        <v>0</v>
      </c>
      <c r="C57" s="42"/>
      <c r="D57" s="42">
        <v>10.0</v>
      </c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ht="15.75" customHeight="1">
      <c r="A58" s="42">
        <f t="shared" si="2"/>
        <v>57</v>
      </c>
      <c r="B58" s="44">
        <f t="shared" si="1"/>
        <v>15</v>
      </c>
      <c r="C58" s="42">
        <v>15.0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ht="15.75" customHeight="1">
      <c r="A59" s="42">
        <f t="shared" si="2"/>
        <v>58</v>
      </c>
      <c r="B59" s="44">
        <f t="shared" si="1"/>
        <v>5</v>
      </c>
      <c r="C59" s="42">
        <v>5.0</v>
      </c>
      <c r="D59" s="42">
        <v>5.0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ht="15.75" customHeight="1">
      <c r="A60" s="42">
        <f t="shared" si="2"/>
        <v>59</v>
      </c>
      <c r="B60" s="44">
        <f t="shared" si="1"/>
        <v>0</v>
      </c>
      <c r="C60" s="42"/>
      <c r="D60" s="42"/>
      <c r="E60" s="42"/>
      <c r="F60" s="42"/>
      <c r="G60" s="42"/>
      <c r="H60" s="42"/>
      <c r="I60" s="42"/>
      <c r="J60" s="42">
        <v>10.0</v>
      </c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ht="15.75" customHeight="1">
      <c r="A61" s="42">
        <f t="shared" si="2"/>
        <v>60</v>
      </c>
      <c r="B61" s="44">
        <f t="shared" si="1"/>
        <v>0</v>
      </c>
      <c r="C61" s="42"/>
      <c r="D61" s="42"/>
      <c r="E61" s="42"/>
      <c r="F61" s="42"/>
      <c r="G61" s="42"/>
      <c r="H61" s="42"/>
      <c r="I61" s="42"/>
      <c r="J61" s="42">
        <v>15.0</v>
      </c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ht="15.75" customHeight="1">
      <c r="A62" s="42">
        <f t="shared" si="2"/>
        <v>61</v>
      </c>
      <c r="B62" s="44">
        <f t="shared" si="1"/>
        <v>0</v>
      </c>
      <c r="C62" s="42"/>
      <c r="D62" s="42"/>
      <c r="E62" s="42"/>
      <c r="F62" s="42"/>
      <c r="G62" s="42"/>
      <c r="H62" s="42"/>
      <c r="I62" s="42"/>
      <c r="J62" s="42">
        <v>5.0</v>
      </c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ht="15.75" customHeight="1">
      <c r="A63" s="42">
        <f t="shared" si="2"/>
        <v>62</v>
      </c>
      <c r="B63" s="44">
        <f t="shared" si="1"/>
        <v>0</v>
      </c>
      <c r="C63" s="42"/>
      <c r="D63" s="42"/>
      <c r="E63" s="42"/>
      <c r="F63" s="42"/>
      <c r="G63" s="42"/>
      <c r="H63" s="42"/>
      <c r="I63" s="42"/>
      <c r="J63" s="42">
        <v>5.0</v>
      </c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ht="15.75" customHeight="1">
      <c r="A64" s="42">
        <f t="shared" si="2"/>
        <v>63</v>
      </c>
      <c r="B64" s="44">
        <f t="shared" si="1"/>
        <v>0</v>
      </c>
      <c r="C64" s="42"/>
      <c r="D64" s="42"/>
      <c r="E64" s="42"/>
      <c r="F64" s="42"/>
      <c r="G64" s="42"/>
      <c r="H64" s="42"/>
      <c r="I64" s="42"/>
      <c r="J64" s="42">
        <v>10.0</v>
      </c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ht="15.75" customHeight="1">
      <c r="A65" s="42">
        <f t="shared" si="2"/>
        <v>64</v>
      </c>
      <c r="B65" s="44">
        <f t="shared" si="1"/>
        <v>5</v>
      </c>
      <c r="C65" s="42">
        <v>5.0</v>
      </c>
      <c r="D65" s="42"/>
      <c r="E65" s="42"/>
      <c r="F65" s="42"/>
      <c r="G65" s="42"/>
      <c r="H65" s="42"/>
      <c r="I65" s="42"/>
      <c r="J65" s="42">
        <v>10.0</v>
      </c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ht="15.75" customHeight="1">
      <c r="A66" s="42">
        <f t="shared" si="2"/>
        <v>65</v>
      </c>
      <c r="B66" s="44">
        <f t="shared" si="1"/>
        <v>5</v>
      </c>
      <c r="C66" s="42">
        <v>5.0</v>
      </c>
      <c r="D66" s="42">
        <v>5.0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ht="15.75" customHeight="1">
      <c r="A67" s="42">
        <f t="shared" si="2"/>
        <v>66</v>
      </c>
      <c r="B67" s="44">
        <f t="shared" si="1"/>
        <v>20</v>
      </c>
      <c r="C67" s="42">
        <v>20.0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ht="15.75" customHeight="1">
      <c r="A68" s="42">
        <f t="shared" si="2"/>
        <v>67</v>
      </c>
      <c r="B68" s="44">
        <f t="shared" si="1"/>
        <v>5</v>
      </c>
      <c r="C68" s="42">
        <v>5.0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ht="15.75" customHeight="1">
      <c r="A69" s="42">
        <f t="shared" si="2"/>
        <v>68</v>
      </c>
      <c r="B69" s="44">
        <f t="shared" si="1"/>
        <v>10</v>
      </c>
      <c r="C69" s="42">
        <v>10.0</v>
      </c>
      <c r="D69" s="42"/>
      <c r="E69" s="42"/>
      <c r="F69" s="42"/>
      <c r="G69" s="42"/>
      <c r="H69" s="42"/>
      <c r="I69" s="42"/>
      <c r="J69" s="42">
        <v>10.0</v>
      </c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ht="15.75" customHeight="1">
      <c r="A70" s="42">
        <f t="shared" si="2"/>
        <v>69</v>
      </c>
      <c r="B70" s="44">
        <f t="shared" si="1"/>
        <v>0</v>
      </c>
      <c r="C70" s="42"/>
      <c r="D70" s="42"/>
      <c r="E70" s="42"/>
      <c r="F70" s="42"/>
      <c r="G70" s="42"/>
      <c r="H70" s="42"/>
      <c r="I70" s="42"/>
      <c r="J70" s="42">
        <v>10.0</v>
      </c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ht="15.75" customHeight="1">
      <c r="A71" s="42">
        <f t="shared" si="2"/>
        <v>70</v>
      </c>
      <c r="B71" s="44">
        <f t="shared" si="1"/>
        <v>0</v>
      </c>
      <c r="C71" s="42"/>
      <c r="D71" s="42"/>
      <c r="E71" s="42"/>
      <c r="F71" s="42"/>
      <c r="G71" s="42"/>
      <c r="H71" s="42"/>
      <c r="I71" s="42"/>
      <c r="J71" s="42">
        <v>10.0</v>
      </c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ht="15.75" customHeight="1">
      <c r="A72" s="42">
        <f t="shared" si="2"/>
        <v>71</v>
      </c>
      <c r="B72" s="44">
        <f t="shared" si="1"/>
        <v>20</v>
      </c>
      <c r="C72" s="42">
        <v>20.0</v>
      </c>
      <c r="D72" s="42"/>
      <c r="E72" s="42"/>
      <c r="F72" s="42"/>
      <c r="G72" s="42"/>
      <c r="H72" s="42"/>
      <c r="I72" s="42"/>
      <c r="J72" s="42">
        <v>5.0</v>
      </c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ht="15.75" customHeight="1">
      <c r="A73" s="42">
        <f t="shared" si="2"/>
        <v>72</v>
      </c>
      <c r="B73" s="44">
        <f t="shared" si="1"/>
        <v>30</v>
      </c>
      <c r="C73" s="42">
        <v>10.0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5">
        <v>20.0</v>
      </c>
      <c r="S73" s="42"/>
      <c r="T73" s="42"/>
      <c r="U73" s="42"/>
      <c r="V73" s="42"/>
      <c r="W73" s="42"/>
      <c r="X73" s="42"/>
      <c r="Y73" s="42"/>
      <c r="Z73" s="42"/>
    </row>
    <row r="74" ht="15.75" customHeight="1">
      <c r="A74" s="42">
        <f t="shared" si="2"/>
        <v>73</v>
      </c>
      <c r="B74" s="44">
        <f t="shared" si="1"/>
        <v>10</v>
      </c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5">
        <v>10.0</v>
      </c>
      <c r="S74" s="42"/>
      <c r="T74" s="42"/>
      <c r="U74" s="42"/>
      <c r="V74" s="42"/>
      <c r="W74" s="42"/>
      <c r="X74" s="42"/>
      <c r="Y74" s="42"/>
      <c r="Z74" s="42"/>
    </row>
    <row r="75" ht="15.75" customHeight="1">
      <c r="A75" s="42">
        <f t="shared" si="2"/>
        <v>74</v>
      </c>
      <c r="B75" s="44">
        <f t="shared" si="1"/>
        <v>15</v>
      </c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5">
        <v>15.0</v>
      </c>
      <c r="S75" s="42"/>
      <c r="T75" s="42"/>
      <c r="U75" s="42"/>
      <c r="V75" s="42"/>
      <c r="W75" s="42"/>
      <c r="X75" s="42"/>
      <c r="Y75" s="42"/>
      <c r="Z75" s="42"/>
    </row>
    <row r="76" ht="15.75" customHeight="1">
      <c r="A76" s="42">
        <f t="shared" si="2"/>
        <v>75</v>
      </c>
      <c r="B76" s="44">
        <f t="shared" si="1"/>
        <v>10</v>
      </c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5">
        <v>10.0</v>
      </c>
      <c r="S76" s="42"/>
      <c r="T76" s="42"/>
      <c r="U76" s="42"/>
      <c r="V76" s="42"/>
      <c r="W76" s="42"/>
      <c r="X76" s="42"/>
      <c r="Y76" s="42"/>
      <c r="Z76" s="42"/>
    </row>
    <row r="77" ht="15.75" customHeight="1">
      <c r="A77" s="42">
        <f t="shared" si="2"/>
        <v>76</v>
      </c>
      <c r="B77" s="44">
        <f t="shared" si="1"/>
        <v>10</v>
      </c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5">
        <v>10.0</v>
      </c>
      <c r="S77" s="42"/>
      <c r="T77" s="42"/>
      <c r="U77" s="42"/>
      <c r="V77" s="42"/>
      <c r="W77" s="42"/>
      <c r="X77" s="42"/>
      <c r="Y77" s="42"/>
      <c r="Z77" s="42"/>
    </row>
    <row r="78" ht="15.75" customHeight="1">
      <c r="A78" s="42">
        <f t="shared" si="2"/>
        <v>77</v>
      </c>
      <c r="B78" s="44">
        <f t="shared" si="1"/>
        <v>10</v>
      </c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5">
        <v>10.0</v>
      </c>
      <c r="S78" s="42"/>
      <c r="T78" s="42"/>
      <c r="U78" s="42"/>
      <c r="V78" s="42"/>
      <c r="W78" s="42"/>
      <c r="X78" s="42"/>
      <c r="Y78" s="42"/>
      <c r="Z78" s="42"/>
    </row>
    <row r="79" ht="15.75" customHeight="1">
      <c r="A79" s="42">
        <f t="shared" si="2"/>
        <v>78</v>
      </c>
      <c r="B79" s="44">
        <f t="shared" si="1"/>
        <v>0</v>
      </c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5">
        <v>0.0</v>
      </c>
      <c r="S79" s="42"/>
      <c r="T79" s="42"/>
      <c r="U79" s="42"/>
      <c r="V79" s="42"/>
      <c r="W79" s="42"/>
      <c r="X79" s="42"/>
      <c r="Y79" s="42"/>
      <c r="Z79" s="42"/>
    </row>
    <row r="80" ht="15.75" customHeight="1">
      <c r="A80" s="42">
        <f t="shared" si="2"/>
        <v>79</v>
      </c>
      <c r="B80" s="44">
        <f t="shared" si="1"/>
        <v>0</v>
      </c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5">
        <v>0.0</v>
      </c>
      <c r="S80" s="42"/>
      <c r="T80" s="42"/>
      <c r="U80" s="42"/>
      <c r="V80" s="42"/>
      <c r="W80" s="42"/>
      <c r="X80" s="42"/>
      <c r="Y80" s="42"/>
      <c r="Z80" s="42"/>
    </row>
    <row r="81" ht="15.75" customHeight="1">
      <c r="A81" s="42">
        <f t="shared" si="2"/>
        <v>80</v>
      </c>
      <c r="B81" s="44">
        <f t="shared" si="1"/>
        <v>15</v>
      </c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5">
        <v>15.0</v>
      </c>
      <c r="S81" s="42"/>
      <c r="T81" s="42"/>
      <c r="U81" s="42"/>
      <c r="V81" s="42"/>
      <c r="W81" s="42"/>
      <c r="X81" s="42"/>
      <c r="Y81" s="42"/>
      <c r="Z81" s="42"/>
    </row>
    <row r="82" ht="15.75" customHeight="1">
      <c r="A82" s="42">
        <f t="shared" si="2"/>
        <v>81</v>
      </c>
      <c r="B82" s="44">
        <f t="shared" si="1"/>
        <v>15</v>
      </c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5">
        <v>15.0</v>
      </c>
      <c r="S82" s="42"/>
      <c r="T82" s="42"/>
      <c r="U82" s="42"/>
      <c r="V82" s="42"/>
      <c r="W82" s="42"/>
      <c r="X82" s="42"/>
      <c r="Y82" s="42"/>
      <c r="Z82" s="42"/>
    </row>
    <row r="83" ht="15.75" customHeight="1">
      <c r="A83" s="42">
        <f t="shared" si="2"/>
        <v>82</v>
      </c>
      <c r="B83" s="44">
        <f t="shared" si="1"/>
        <v>15</v>
      </c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5">
        <v>15.0</v>
      </c>
      <c r="S83" s="42"/>
      <c r="T83" s="42"/>
      <c r="U83" s="42"/>
      <c r="V83" s="42"/>
      <c r="W83" s="42"/>
      <c r="X83" s="42"/>
      <c r="Y83" s="42"/>
      <c r="Z83" s="42"/>
    </row>
    <row r="84" ht="15.75" customHeight="1">
      <c r="A84" s="42">
        <f t="shared" si="2"/>
        <v>83</v>
      </c>
      <c r="B84" s="44">
        <f t="shared" si="1"/>
        <v>20</v>
      </c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5">
        <v>20.0</v>
      </c>
      <c r="S84" s="42"/>
      <c r="T84" s="42"/>
      <c r="U84" s="42"/>
      <c r="V84" s="42"/>
      <c r="W84" s="42"/>
      <c r="X84" s="42"/>
      <c r="Y84" s="42"/>
      <c r="Z84" s="42"/>
    </row>
    <row r="85" ht="15.75" customHeight="1">
      <c r="A85" s="42">
        <f t="shared" si="2"/>
        <v>84</v>
      </c>
      <c r="B85" s="44">
        <f t="shared" si="1"/>
        <v>25</v>
      </c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5">
        <v>25.0</v>
      </c>
      <c r="S85" s="42"/>
      <c r="T85" s="42"/>
      <c r="U85" s="42"/>
      <c r="V85" s="42"/>
      <c r="W85" s="42"/>
      <c r="X85" s="42"/>
      <c r="Y85" s="42"/>
      <c r="Z85" s="42"/>
    </row>
    <row r="86" ht="15.75" customHeight="1">
      <c r="A86" s="42">
        <f t="shared" si="2"/>
        <v>85</v>
      </c>
      <c r="B86" s="44">
        <f t="shared" si="1"/>
        <v>0</v>
      </c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6">
        <v>0.0</v>
      </c>
      <c r="S86" s="42"/>
      <c r="T86" s="42"/>
      <c r="U86" s="42"/>
      <c r="V86" s="42"/>
      <c r="W86" s="42"/>
      <c r="X86" s="42"/>
      <c r="Y86" s="42"/>
      <c r="Z86" s="42"/>
    </row>
    <row r="87" ht="15.75" customHeight="1">
      <c r="A87" s="42">
        <f t="shared" si="2"/>
        <v>86</v>
      </c>
      <c r="B87" s="44">
        <f t="shared" si="1"/>
        <v>0</v>
      </c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5">
        <v>0.0</v>
      </c>
      <c r="S87" s="42"/>
      <c r="T87" s="42"/>
      <c r="U87" s="42"/>
      <c r="V87" s="42"/>
      <c r="W87" s="42"/>
      <c r="X87" s="42"/>
      <c r="Y87" s="42"/>
      <c r="Z87" s="42"/>
    </row>
    <row r="88" ht="15.75" customHeight="1">
      <c r="A88" s="42">
        <f t="shared" si="2"/>
        <v>87</v>
      </c>
      <c r="B88" s="47">
        <v>20.0</v>
      </c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5"/>
      <c r="S88" s="42"/>
      <c r="T88" s="42"/>
      <c r="U88" s="42"/>
      <c r="V88" s="42"/>
      <c r="W88" s="42"/>
      <c r="X88" s="47">
        <v>20.0</v>
      </c>
      <c r="Y88" s="42"/>
      <c r="Z88" s="42"/>
    </row>
    <row r="89" ht="15.75" customHeight="1">
      <c r="A89" s="42">
        <f t="shared" si="2"/>
        <v>88</v>
      </c>
      <c r="B89" s="47">
        <v>15.0</v>
      </c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7">
        <v>15.0</v>
      </c>
      <c r="Y89" s="42"/>
      <c r="Z89" s="42"/>
    </row>
    <row r="90" ht="15.75" customHeight="1">
      <c r="A90" s="42">
        <f t="shared" si="2"/>
        <v>89</v>
      </c>
      <c r="B90" s="47">
        <v>15.0</v>
      </c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7">
        <v>15.0</v>
      </c>
      <c r="Y90" s="42"/>
      <c r="Z90" s="42"/>
    </row>
    <row r="91" ht="15.75" customHeight="1">
      <c r="A91" s="42">
        <f t="shared" si="2"/>
        <v>90</v>
      </c>
      <c r="B91" s="47">
        <v>20.0</v>
      </c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7">
        <v>20.0</v>
      </c>
      <c r="Y91" s="42"/>
      <c r="Z91" s="42"/>
    </row>
    <row r="92" ht="15.75" customHeight="1">
      <c r="A92" s="42">
        <f t="shared" si="2"/>
        <v>91</v>
      </c>
      <c r="B92" s="47">
        <v>15.0</v>
      </c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7">
        <v>15.0</v>
      </c>
      <c r="Y92" s="42"/>
      <c r="Z92" s="42"/>
    </row>
    <row r="93" ht="15.75" customHeight="1">
      <c r="A93" s="42">
        <f t="shared" si="2"/>
        <v>92</v>
      </c>
      <c r="B93" s="47">
        <v>15.0</v>
      </c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7">
        <v>15.0</v>
      </c>
      <c r="Y93" s="42"/>
      <c r="Z93" s="42"/>
    </row>
    <row r="94" ht="15.75" customHeight="1">
      <c r="A94" s="42">
        <f t="shared" si="2"/>
        <v>93</v>
      </c>
      <c r="B94" s="47">
        <v>10.0</v>
      </c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7">
        <v>10.0</v>
      </c>
      <c r="Y94" s="42"/>
      <c r="Z94" s="42"/>
    </row>
    <row r="95" ht="15.75" customHeight="1">
      <c r="A95" s="42">
        <f t="shared" si="2"/>
        <v>94</v>
      </c>
      <c r="B95" s="48">
        <v>10.0</v>
      </c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8">
        <v>10.0</v>
      </c>
      <c r="Y95" s="42"/>
      <c r="Z95" s="42"/>
    </row>
    <row r="96" ht="15.75" customHeight="1">
      <c r="A96" s="42">
        <f t="shared" si="2"/>
        <v>95</v>
      </c>
      <c r="B96" s="47">
        <v>20.0</v>
      </c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7">
        <v>20.0</v>
      </c>
      <c r="Y96" s="42"/>
      <c r="Z96" s="42"/>
    </row>
    <row r="97" ht="15.75" customHeight="1">
      <c r="A97" s="42">
        <f t="shared" si="2"/>
        <v>96</v>
      </c>
      <c r="B97" s="47">
        <v>25.0</v>
      </c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7">
        <v>25.0</v>
      </c>
      <c r="Y97" s="42"/>
      <c r="Z97" s="42"/>
    </row>
    <row r="98" ht="15.75" customHeight="1">
      <c r="A98" s="42">
        <f t="shared" si="2"/>
        <v>97</v>
      </c>
      <c r="B98" s="48">
        <v>10.0</v>
      </c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8">
        <v>10.0</v>
      </c>
      <c r="Y98" s="42"/>
      <c r="Z98" s="42"/>
    </row>
    <row r="99" ht="15.75" customHeight="1">
      <c r="A99" s="42">
        <f t="shared" si="2"/>
        <v>98</v>
      </c>
      <c r="B99" s="48">
        <v>10.0</v>
      </c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8">
        <v>10.0</v>
      </c>
      <c r="Y99" s="42"/>
      <c r="Z99" s="42"/>
    </row>
    <row r="100" ht="15.75" customHeight="1">
      <c r="A100" s="42">
        <f t="shared" si="2"/>
        <v>99</v>
      </c>
      <c r="B100" s="47">
        <v>15.0</v>
      </c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7">
        <v>15.0</v>
      </c>
      <c r="Y100" s="42"/>
      <c r="Z100" s="42"/>
    </row>
    <row r="101" ht="15.75" customHeight="1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Y101" s="42"/>
      <c r="Z101" s="42"/>
    </row>
    <row r="102" ht="15.75" customHeight="1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ht="15.75" customHeight="1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ht="15.75" customHeight="1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ht="15.75" customHeight="1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ht="15.75" customHeight="1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ht="15.75" customHeight="1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ht="15.75" customHeight="1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ht="15.75" customHeight="1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ht="15.75" customHeight="1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ht="15.75" customHeight="1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ht="15.75" customHeight="1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ht="15.75" customHeight="1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ht="15.75" customHeight="1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ht="15.75" customHeight="1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ht="15.75" customHeight="1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ht="15.75" customHeight="1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ht="15.75" customHeight="1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ht="15.75" customHeight="1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ht="15.75" customHeight="1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ht="15.75" customHeight="1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ht="15.75" customHeight="1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ht="15.75" customHeight="1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ht="15.75" customHeight="1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ht="15.75" customHeight="1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ht="15.75" customHeight="1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ht="15.75" customHeight="1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ht="15.75" customHeight="1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ht="15.75" customHeight="1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ht="15.75" customHeight="1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ht="15.75" customHeight="1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ht="15.75" customHeight="1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ht="15.75" customHeight="1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ht="15.75" customHeight="1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ht="15.75" customHeight="1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ht="15.75" customHeight="1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ht="15.75" customHeight="1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ht="15.75" customHeight="1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ht="15.75" customHeight="1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ht="15.75" customHeight="1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ht="15.75" customHeight="1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ht="15.75" customHeight="1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ht="15.75" customHeight="1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ht="15.75" customHeight="1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ht="15.75" customHeight="1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ht="15.75" customHeight="1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ht="15.75" customHeight="1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ht="15.75" customHeight="1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ht="15.75" customHeight="1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ht="15.75" customHeight="1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ht="15.75" customHeight="1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ht="15.75" customHeight="1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ht="15.75" customHeight="1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ht="15.75" customHeight="1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ht="15.75" customHeight="1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ht="15.75" customHeight="1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ht="15.75" customHeight="1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ht="15.75" customHeight="1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ht="15.75" customHeight="1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ht="15.75" customHeight="1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ht="15.75" customHeight="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ht="15.75" customHeight="1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ht="15.75" customHeight="1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ht="15.75" customHeight="1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ht="15.75" customHeight="1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ht="15.75" customHeight="1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ht="15.75" customHeight="1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ht="15.75" customHeight="1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ht="15.75" customHeight="1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ht="15.75" customHeight="1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ht="15.75" customHeight="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ht="15.75" customHeight="1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ht="15.75" customHeight="1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ht="15.75" customHeight="1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ht="15.75" customHeight="1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ht="15.75" customHeight="1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ht="15.75" customHeight="1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ht="15.75" customHeight="1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ht="15.75" customHeight="1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ht="15.75" customHeight="1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ht="15.75" customHeight="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ht="15.75" customHeight="1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ht="15.75" customHeight="1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ht="15.75" customHeight="1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ht="15.75" customHeight="1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ht="15.75" customHeight="1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ht="15.75" customHeight="1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ht="15.75" customHeight="1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ht="15.75" customHeight="1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ht="15.75" customHeight="1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ht="15.75" customHeight="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ht="15.75" customHeight="1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ht="15.75" customHeight="1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ht="15.75" customHeight="1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ht="15.75" customHeight="1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ht="15.75" customHeight="1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ht="15.75" customHeight="1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ht="15.75" customHeight="1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ht="15.75" customHeight="1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ht="15.75" customHeight="1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ht="15.75" customHeight="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ht="15.75" customHeight="1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ht="15.75" customHeight="1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ht="15.75" customHeight="1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ht="15.75" customHeight="1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ht="15.75" customHeight="1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ht="15.75" customHeight="1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ht="15.75" customHeight="1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ht="15.75" customHeight="1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ht="15.75" customHeight="1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ht="15.75" customHeight="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ht="15.75" customHeight="1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ht="15.75" customHeight="1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ht="15.75" customHeight="1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ht="15.75" customHeight="1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ht="15.75" customHeight="1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ht="15.75" customHeight="1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ht="15.75" customHeight="1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ht="15.75" customHeight="1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ht="15.75" customHeight="1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ht="15.75" customHeight="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ht="15.75" customHeight="1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ht="15.75" customHeight="1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ht="15.75" customHeight="1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ht="15.75" customHeight="1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ht="15.75" customHeight="1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ht="15.75" customHeight="1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ht="15.75" customHeight="1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</row>
    <row r="229" ht="15.75" customHeight="1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</row>
    <row r="230" ht="15.75" customHeight="1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</row>
    <row r="231" ht="15.75" customHeight="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</row>
    <row r="232" ht="15.75" customHeight="1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</row>
    <row r="233" ht="15.75" customHeight="1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</row>
    <row r="234" ht="15.75" customHeight="1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</row>
    <row r="235" ht="15.75" customHeight="1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</row>
    <row r="236" ht="15.75" customHeight="1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</row>
    <row r="237" ht="15.75" customHeight="1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</row>
    <row r="238" ht="15.75" customHeight="1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</row>
    <row r="239" ht="15.75" customHeight="1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</row>
    <row r="240" ht="15.75" customHeight="1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</row>
    <row r="241" ht="15.75" customHeight="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</row>
    <row r="242" ht="15.75" customHeight="1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</row>
    <row r="243" ht="15.75" customHeight="1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</row>
    <row r="244" ht="15.75" customHeight="1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</row>
    <row r="245" ht="15.75" customHeight="1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</row>
    <row r="246" ht="15.75" customHeight="1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</row>
    <row r="247" ht="15.75" customHeight="1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</row>
    <row r="248" ht="15.75" customHeight="1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</row>
    <row r="249" ht="15.75" customHeight="1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</row>
    <row r="250" ht="15.75" customHeight="1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</row>
    <row r="251" ht="15.75" customHeight="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</row>
    <row r="252" ht="15.75" customHeight="1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</row>
    <row r="253" ht="15.75" customHeight="1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</row>
    <row r="254" ht="15.75" customHeight="1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</row>
    <row r="255" ht="15.75" customHeight="1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</row>
    <row r="256" ht="15.75" customHeight="1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</row>
    <row r="257" ht="15.75" customHeight="1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</row>
    <row r="258" ht="15.75" customHeight="1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</row>
    <row r="259" ht="15.75" customHeight="1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</row>
    <row r="260" ht="15.75" customHeight="1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</row>
    <row r="261" ht="15.75" customHeight="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</row>
    <row r="262" ht="15.75" customHeight="1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</row>
    <row r="263" ht="15.75" customHeight="1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</row>
    <row r="264" ht="15.75" customHeight="1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</row>
    <row r="265" ht="15.75" customHeight="1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</row>
    <row r="266" ht="15.75" customHeight="1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</row>
    <row r="267" ht="15.75" customHeight="1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</row>
    <row r="268" ht="15.75" customHeight="1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</row>
    <row r="269" ht="15.75" customHeight="1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</row>
    <row r="270" ht="15.75" customHeight="1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</row>
    <row r="271" ht="15.75" customHeight="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</row>
    <row r="272" ht="15.75" customHeight="1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</row>
    <row r="273" ht="15.75" customHeight="1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</row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